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7z4kss-my.sharepoint.com/personal/cadu_7z4kss_onmicrosoft_com/Documents/5. PILAR DISTRIBUIÇÃO/ROTA/PCD/2026/"/>
    </mc:Choice>
  </mc:AlternateContent>
  <xr:revisionPtr revIDLastSave="2297" documentId="13_ncr:1_{8538360F-AFEF-462D-BEFE-64756754DE44}" xr6:coauthVersionLast="47" xr6:coauthVersionMax="47" xr10:uidLastSave="{4906B9AE-527D-48C5-A5E8-94BA075D0A90}"/>
  <bookViews>
    <workbookView xWindow="-120" yWindow="-120" windowWidth="20730" windowHeight="11160" tabRatio="597" firstSheet="2" xr2:uid="{00000000-000D-0000-FFFF-FFFF00000000}"/>
  </bookViews>
  <sheets>
    <sheet name="PCD SALAS" sheetId="5" r:id="rId1"/>
    <sheet name="PCD" sheetId="4" r:id="rId2"/>
    <sheet name="FIDELIZAÇÃO" sheetId="1" r:id="rId3"/>
    <sheet name="03114902" sheetId="3" r:id="rId4"/>
    <sheet name="CHECK JORNADA" sheetId="6" r:id="rId5"/>
    <sheet name="03.11.20" sheetId="7" r:id="rId6"/>
    <sheet name="ACOMPANHAMENTO FERIADO" sheetId="8" state="hidden" r:id="rId7"/>
    <sheet name="ACOMPANHAMENTO F-0" sheetId="10" state="hidden" r:id="rId8"/>
    <sheet name="Recargas" sheetId="11" state="hidden" r:id="rId9"/>
    <sheet name="depara" sheetId="2" r:id="rId10"/>
  </sheets>
  <definedNames>
    <definedName name="_xlnm._FilterDatabase" localSheetId="5" hidden="1">'03.11.20'!$A$1:$Y$189</definedName>
    <definedName name="_xlnm._FilterDatabase" localSheetId="9" hidden="1">depara!$A$1:$D$30</definedName>
    <definedName name="_xlnm._FilterDatabase" localSheetId="2" hidden="1">FIDELIZAÇÃO!$B$16:$I$16</definedName>
    <definedName name="_xlnm.Print_Area" localSheetId="9">depara!$B$1:$D$35</definedName>
    <definedName name="_xlnm.Print_Area" localSheetId="0">'PCD SALAS'!$C$1:$S$45</definedName>
    <definedName name="_xlnm.Print_Area" localSheetId="2">FIDELIZAÇÃO!$B$1:$O$31</definedName>
  </definedNames>
  <calcPr calcId="191028"/>
  <pivotCaches>
    <pivotCache cacheId="48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" l="1"/>
  <c r="P8" i="1"/>
  <c r="N6" i="1"/>
  <c r="N7" i="1"/>
  <c r="P18" i="1"/>
  <c r="P19" i="1"/>
  <c r="N18" i="1"/>
  <c r="N19" i="1"/>
  <c r="N20" i="1"/>
  <c r="F10" i="1"/>
  <c r="H26" i="1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33" i="2"/>
  <c r="V3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F5" i="1"/>
  <c r="F26" i="1"/>
  <c r="N5" i="1"/>
  <c r="F6" i="1"/>
  <c r="F7" i="1"/>
  <c r="F8" i="1"/>
  <c r="F9" i="1"/>
  <c r="F11" i="1"/>
  <c r="F12" i="1"/>
  <c r="H7" i="1"/>
  <c r="H9" i="1"/>
  <c r="H11" i="1"/>
  <c r="H12" i="1"/>
  <c r="F18" i="1"/>
  <c r="F19" i="1"/>
  <c r="F20" i="1"/>
  <c r="F21" i="1"/>
  <c r="F22" i="1"/>
  <c r="F23" i="1"/>
  <c r="F24" i="1"/>
  <c r="F25" i="1"/>
  <c r="F27" i="1"/>
  <c r="H17" i="1"/>
  <c r="H20" i="1"/>
  <c r="H21" i="1"/>
  <c r="H22" i="1"/>
  <c r="H23" i="1"/>
  <c r="H27" i="1"/>
  <c r="N14" i="1"/>
  <c r="N15" i="1"/>
  <c r="N16" i="1"/>
  <c r="N17" i="1"/>
  <c r="H28" i="1"/>
  <c r="H29" i="1"/>
  <c r="H30" i="1"/>
  <c r="N21" i="1"/>
  <c r="N22" i="1"/>
  <c r="B27" i="5"/>
  <c r="B28" i="5"/>
  <c r="B29" i="5"/>
  <c r="B30" i="5"/>
  <c r="F55" i="1"/>
  <c r="F13" i="1"/>
  <c r="H13" i="1"/>
  <c r="F14" i="1"/>
  <c r="H14" i="1"/>
  <c r="P6" i="1"/>
  <c r="N8" i="1"/>
  <c r="N9" i="1"/>
  <c r="N10" i="1"/>
  <c r="B8" i="5"/>
  <c r="B9" i="5"/>
  <c r="B10" i="5"/>
  <c r="B11" i="5"/>
  <c r="B12" i="5"/>
  <c r="B13" i="5"/>
  <c r="F53" i="1"/>
  <c r="P14" i="1"/>
  <c r="P15" i="1"/>
  <c r="P16" i="1"/>
  <c r="P17" i="1"/>
  <c r="P20" i="1"/>
  <c r="P21" i="1"/>
  <c r="P22" i="1"/>
  <c r="W7" i="1"/>
  <c r="J25" i="1" l="1"/>
  <c r="J20" i="1"/>
  <c r="P5" i="1"/>
  <c r="W16" i="1"/>
  <c r="W17" i="1"/>
  <c r="W14" i="1"/>
  <c r="K33" i="1"/>
  <c r="S10" i="1" l="1"/>
  <c r="Y10" i="1"/>
  <c r="Y11" i="1"/>
  <c r="Y5" i="1"/>
  <c r="Y6" i="1"/>
  <c r="Y7" i="1"/>
  <c r="U7" i="1"/>
  <c r="F17" i="1"/>
  <c r="F28" i="1"/>
  <c r="U5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U8" i="1"/>
  <c r="U9" i="1"/>
  <c r="U10" i="1"/>
  <c r="U11" i="1"/>
  <c r="F29" i="1" l="1"/>
  <c r="F30" i="1"/>
  <c r="F31" i="1"/>
  <c r="F60" i="1"/>
  <c r="R22" i="1" l="1"/>
  <c r="R23" i="1"/>
  <c r="R24" i="1"/>
  <c r="R26" i="1"/>
  <c r="R27" i="1"/>
  <c r="R29" i="1"/>
  <c r="R30" i="1"/>
  <c r="R31" i="1"/>
  <c r="R32" i="1"/>
  <c r="R33" i="1"/>
  <c r="R34" i="1"/>
  <c r="R35" i="1"/>
  <c r="L33" i="4"/>
  <c r="L34" i="4"/>
  <c r="L35" i="4"/>
  <c r="L36" i="4"/>
  <c r="B13" i="4"/>
  <c r="D13" i="4"/>
  <c r="E13" i="4"/>
  <c r="J13" i="4"/>
  <c r="B14" i="4"/>
  <c r="D14" i="4"/>
  <c r="E14" i="4"/>
  <c r="J14" i="4"/>
  <c r="B15" i="4"/>
  <c r="D15" i="4"/>
  <c r="E15" i="4"/>
  <c r="J15" i="4"/>
  <c r="B16" i="4"/>
  <c r="D16" i="4"/>
  <c r="E16" i="4"/>
  <c r="J16" i="4"/>
  <c r="B10" i="4"/>
  <c r="D10" i="4"/>
  <c r="E10" i="4"/>
  <c r="J10" i="4"/>
  <c r="K10" i="4"/>
  <c r="B11" i="4"/>
  <c r="D11" i="4"/>
  <c r="E11" i="4"/>
  <c r="J11" i="4"/>
  <c r="K11" i="4"/>
  <c r="D3" i="4"/>
  <c r="P13" i="1"/>
  <c r="N11" i="1"/>
  <c r="E3" i="4" l="1"/>
  <c r="D4" i="4"/>
  <c r="D5" i="4"/>
  <c r="D6" i="4"/>
  <c r="D7" i="4"/>
  <c r="D8" i="4"/>
  <c r="D9" i="4"/>
  <c r="D12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B20" i="5"/>
  <c r="B21" i="5"/>
  <c r="B22" i="5"/>
  <c r="B23" i="5"/>
  <c r="B24" i="5"/>
  <c r="B25" i="5"/>
  <c r="B26" i="5"/>
  <c r="B31" i="5"/>
  <c r="B32" i="5"/>
  <c r="B5" i="5"/>
  <c r="B6" i="5"/>
  <c r="B7" i="5"/>
  <c r="B14" i="5"/>
  <c r="B4" i="5"/>
  <c r="B3" i="4"/>
  <c r="J3" i="4"/>
  <c r="K3" i="4"/>
  <c r="L3" i="4"/>
  <c r="B37" i="5" l="1"/>
  <c r="B38" i="5"/>
  <c r="B39" i="5"/>
  <c r="B40" i="5"/>
  <c r="N12" i="1"/>
  <c r="B8" i="4"/>
  <c r="E8" i="4"/>
  <c r="J8" i="4"/>
  <c r="K8" i="4"/>
  <c r="B9" i="4"/>
  <c r="E9" i="4"/>
  <c r="J9" i="4"/>
  <c r="K9" i="4"/>
  <c r="B12" i="4"/>
  <c r="E12" i="4"/>
  <c r="J12" i="4"/>
  <c r="K12" i="4"/>
  <c r="K13" i="4"/>
  <c r="K14" i="4"/>
  <c r="K15" i="4"/>
  <c r="K16" i="4"/>
  <c r="B17" i="4"/>
  <c r="E17" i="4"/>
  <c r="J17" i="4"/>
  <c r="K17" i="4"/>
  <c r="B18" i="4"/>
  <c r="E18" i="4"/>
  <c r="J18" i="4"/>
  <c r="K18" i="4"/>
  <c r="B19" i="4" l="1"/>
  <c r="E19" i="4"/>
  <c r="J19" i="4"/>
  <c r="K19" i="4"/>
  <c r="E38" i="4" l="1"/>
  <c r="E39" i="4"/>
  <c r="E40" i="4"/>
  <c r="E41" i="4"/>
  <c r="E42" i="4"/>
  <c r="E43" i="4"/>
  <c r="N13" i="1" l="1"/>
  <c r="E7" i="4" l="1"/>
  <c r="J5" i="1"/>
  <c r="J6" i="1"/>
  <c r="J10" i="1" l="1"/>
  <c r="J11" i="1"/>
  <c r="J12" i="1"/>
  <c r="J7" i="1"/>
  <c r="J19" i="1"/>
  <c r="J27" i="1"/>
  <c r="J28" i="1"/>
  <c r="J21" i="1"/>
  <c r="J23" i="1"/>
  <c r="J24" i="1"/>
  <c r="V2" i="2"/>
  <c r="V1" i="2"/>
  <c r="B3" i="3"/>
  <c r="C4" i="4" s="1"/>
  <c r="B4" i="3"/>
  <c r="C5" i="4" s="1"/>
  <c r="B5" i="3"/>
  <c r="C6" i="4" s="1"/>
  <c r="B6" i="3"/>
  <c r="C7" i="4" s="1"/>
  <c r="F7" i="4" s="1"/>
  <c r="B7" i="3"/>
  <c r="C8" i="4" s="1"/>
  <c r="B8" i="3"/>
  <c r="C9" i="4" s="1"/>
  <c r="B9" i="3"/>
  <c r="C10" i="4" s="1"/>
  <c r="B10" i="3"/>
  <c r="C11" i="4" s="1"/>
  <c r="B11" i="3"/>
  <c r="C12" i="4" s="1"/>
  <c r="B12" i="3"/>
  <c r="C13" i="4" s="1"/>
  <c r="B13" i="3"/>
  <c r="C14" i="4" s="1"/>
  <c r="B14" i="3"/>
  <c r="C15" i="4" s="1"/>
  <c r="B15" i="3"/>
  <c r="C16" i="4" s="1"/>
  <c r="B16" i="3"/>
  <c r="C17" i="4" s="1"/>
  <c r="B17" i="3"/>
  <c r="C18" i="4" s="1"/>
  <c r="B18" i="3"/>
  <c r="C19" i="4" s="1"/>
  <c r="B19" i="3"/>
  <c r="C20" i="4" s="1"/>
  <c r="B20" i="3"/>
  <c r="C21" i="4" s="1"/>
  <c r="B21" i="3"/>
  <c r="C22" i="4" s="1"/>
  <c r="B22" i="3"/>
  <c r="C23" i="4" s="1"/>
  <c r="B23" i="3"/>
  <c r="C24" i="4" s="1"/>
  <c r="B24" i="3"/>
  <c r="C25" i="4" s="1"/>
  <c r="B25" i="3"/>
  <c r="C26" i="4" s="1"/>
  <c r="B26" i="3"/>
  <c r="C27" i="4" s="1"/>
  <c r="B27" i="3"/>
  <c r="C28" i="4" s="1"/>
  <c r="H28" i="4" s="1"/>
  <c r="B28" i="3"/>
  <c r="B29" i="3"/>
  <c r="B30" i="3"/>
  <c r="B31" i="3"/>
  <c r="B32" i="3"/>
  <c r="B33" i="3"/>
  <c r="B34" i="3"/>
  <c r="B35" i="3"/>
  <c r="B36" i="3"/>
  <c r="B37" i="3"/>
  <c r="C38" i="4" s="1"/>
  <c r="F38" i="4" s="1"/>
  <c r="B38" i="3"/>
  <c r="C39" i="4" s="1"/>
  <c r="F39" i="4" s="1"/>
  <c r="B39" i="3"/>
  <c r="C40" i="4" s="1"/>
  <c r="F40" i="4" s="1"/>
  <c r="B40" i="3"/>
  <c r="C41" i="4" s="1"/>
  <c r="F41" i="4" s="1"/>
  <c r="B41" i="3"/>
  <c r="C42" i="4" s="1"/>
  <c r="F42" i="4" s="1"/>
  <c r="B42" i="3"/>
  <c r="C43" i="4" s="1"/>
  <c r="F43" i="4" s="1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2" i="3"/>
  <c r="K34" i="1"/>
  <c r="R21" i="1"/>
  <c r="W18" i="1"/>
  <c r="S18" i="1"/>
  <c r="S17" i="1"/>
  <c r="S16" i="1"/>
  <c r="W15" i="1"/>
  <c r="S15" i="1"/>
  <c r="S14" i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2" i="2"/>
  <c r="B4" i="11" a="1"/>
  <c r="B4" i="11" s="1"/>
  <c r="J4" i="11" s="1"/>
  <c r="B5" i="11" a="1"/>
  <c r="B5" i="11" s="1"/>
  <c r="J5" i="11" s="1"/>
  <c r="B6" i="11" a="1"/>
  <c r="B6" i="11" s="1"/>
  <c r="C6" i="11" s="1"/>
  <c r="B7" i="11" a="1"/>
  <c r="B7" i="11" s="1"/>
  <c r="C7" i="11" s="1"/>
  <c r="B8" i="11" a="1"/>
  <c r="B8" i="11" s="1"/>
  <c r="C8" i="11" s="1"/>
  <c r="B9" i="11" a="1"/>
  <c r="B9" i="11" s="1"/>
  <c r="C9" i="11" s="1"/>
  <c r="B10" i="11" a="1"/>
  <c r="B10" i="11" s="1"/>
  <c r="C10" i="11" s="1"/>
  <c r="B11" i="11" a="1"/>
  <c r="B11" i="11" s="1"/>
  <c r="C11" i="11" s="1"/>
  <c r="B12" i="11" a="1"/>
  <c r="B12" i="11" s="1"/>
  <c r="C12" i="11" s="1"/>
  <c r="B13" i="11" a="1"/>
  <c r="B13" i="11" s="1"/>
  <c r="C13" i="11" s="1"/>
  <c r="B14" i="11" a="1"/>
  <c r="B14" i="11" s="1"/>
  <c r="C14" i="11" s="1"/>
  <c r="B15" i="11" a="1"/>
  <c r="B15" i="11" s="1"/>
  <c r="C15" i="11" s="1"/>
  <c r="B16" i="11" a="1"/>
  <c r="B16" i="11" s="1"/>
  <c r="J16" i="11" s="1"/>
  <c r="B17" i="11" a="1"/>
  <c r="B17" i="11" s="1"/>
  <c r="J17" i="11" s="1"/>
  <c r="B18" i="11" a="1"/>
  <c r="B18" i="11" s="1"/>
  <c r="C18" i="11" s="1"/>
  <c r="B19" i="11" a="1"/>
  <c r="B19" i="11" s="1"/>
  <c r="C19" i="11" s="1"/>
  <c r="B20" i="11" a="1"/>
  <c r="B20" i="11" s="1"/>
  <c r="C20" i="11" s="1"/>
  <c r="B21" i="11" a="1"/>
  <c r="B21" i="11" s="1"/>
  <c r="C21" i="11" s="1"/>
  <c r="B22" i="11" a="1"/>
  <c r="B22" i="11" s="1"/>
  <c r="C22" i="11" s="1"/>
  <c r="B23" i="11" a="1"/>
  <c r="B23" i="11" s="1"/>
  <c r="C23" i="11" s="1"/>
  <c r="B24" i="11" a="1"/>
  <c r="B24" i="11" s="1"/>
  <c r="C24" i="11" s="1"/>
  <c r="B3" i="11" a="1"/>
  <c r="B3" i="11" s="1"/>
  <c r="C3" i="11" s="1"/>
  <c r="I17" i="1" l="1"/>
  <c r="I5" i="1"/>
  <c r="C27" i="5"/>
  <c r="D27" i="5"/>
  <c r="E27" i="5"/>
  <c r="F27" i="5"/>
  <c r="K27" i="5"/>
  <c r="L27" i="5"/>
  <c r="M27" i="5"/>
  <c r="N27" i="5"/>
  <c r="O27" i="5"/>
  <c r="P27" i="5"/>
  <c r="Q27" i="5"/>
  <c r="R27" i="5"/>
  <c r="S27" i="5"/>
  <c r="C28" i="5"/>
  <c r="D28" i="5"/>
  <c r="E28" i="5"/>
  <c r="F28" i="5"/>
  <c r="K28" i="5"/>
  <c r="L28" i="5"/>
  <c r="M28" i="5"/>
  <c r="N28" i="5"/>
  <c r="O28" i="5"/>
  <c r="P28" i="5"/>
  <c r="Q28" i="5"/>
  <c r="R28" i="5"/>
  <c r="S28" i="5"/>
  <c r="C29" i="5"/>
  <c r="D29" i="5"/>
  <c r="E29" i="5"/>
  <c r="F29" i="5"/>
  <c r="K29" i="5"/>
  <c r="L29" i="5"/>
  <c r="M29" i="5"/>
  <c r="N29" i="5"/>
  <c r="O29" i="5"/>
  <c r="P29" i="5"/>
  <c r="Q29" i="5"/>
  <c r="R29" i="5"/>
  <c r="S29" i="5"/>
  <c r="C30" i="5"/>
  <c r="D30" i="5"/>
  <c r="E30" i="5"/>
  <c r="F30" i="5"/>
  <c r="K30" i="5"/>
  <c r="L30" i="5"/>
  <c r="M30" i="5"/>
  <c r="N30" i="5"/>
  <c r="O30" i="5"/>
  <c r="P30" i="5"/>
  <c r="Q30" i="5"/>
  <c r="R30" i="5"/>
  <c r="S30" i="5"/>
  <c r="I18" i="1"/>
  <c r="I19" i="1"/>
  <c r="I20" i="1"/>
  <c r="I21" i="1"/>
  <c r="I22" i="1"/>
  <c r="I23" i="1"/>
  <c r="I24" i="1"/>
  <c r="I25" i="1"/>
  <c r="I26" i="1"/>
  <c r="I27" i="1"/>
  <c r="I28" i="1"/>
  <c r="I29" i="1"/>
  <c r="I6" i="1"/>
  <c r="I7" i="1"/>
  <c r="I8" i="1"/>
  <c r="I9" i="1"/>
  <c r="I10" i="1"/>
  <c r="I11" i="1"/>
  <c r="I12" i="1"/>
  <c r="I13" i="1"/>
  <c r="K19" i="1"/>
  <c r="K31" i="1"/>
  <c r="K20" i="1"/>
  <c r="K6" i="1"/>
  <c r="K21" i="1"/>
  <c r="K26" i="1"/>
  <c r="K7" i="1"/>
  <c r="K22" i="1"/>
  <c r="K24" i="1"/>
  <c r="K25" i="1"/>
  <c r="K8" i="1"/>
  <c r="K23" i="1"/>
  <c r="K9" i="1"/>
  <c r="K10" i="1"/>
  <c r="K11" i="1"/>
  <c r="K12" i="1"/>
  <c r="K27" i="1"/>
  <c r="K29" i="1"/>
  <c r="K30" i="1"/>
  <c r="K13" i="1"/>
  <c r="K28" i="1"/>
  <c r="K14" i="1"/>
  <c r="K18" i="1"/>
  <c r="F14" i="4"/>
  <c r="G14" i="4" s="1"/>
  <c r="H14" i="4"/>
  <c r="I14" i="4" s="1"/>
  <c r="F13" i="4"/>
  <c r="G13" i="4" s="1"/>
  <c r="H13" i="4"/>
  <c r="I13" i="4" s="1"/>
  <c r="H16" i="4"/>
  <c r="I16" i="4" s="1"/>
  <c r="F16" i="4"/>
  <c r="G16" i="4" s="1"/>
  <c r="H15" i="4"/>
  <c r="I15" i="4" s="1"/>
  <c r="F15" i="4"/>
  <c r="G15" i="4" s="1"/>
  <c r="F10" i="4"/>
  <c r="G10" i="4" s="1"/>
  <c r="H10" i="4"/>
  <c r="I10" i="4" s="1"/>
  <c r="F11" i="4"/>
  <c r="H11" i="4"/>
  <c r="I11" i="4" s="1"/>
  <c r="D25" i="5"/>
  <c r="D21" i="5"/>
  <c r="D31" i="5"/>
  <c r="I30" i="1"/>
  <c r="I31" i="1"/>
  <c r="I14" i="1"/>
  <c r="D24" i="5"/>
  <c r="D32" i="5"/>
  <c r="G32" i="5" s="1"/>
  <c r="H32" i="5" s="1"/>
  <c r="C3" i="4"/>
  <c r="D4" i="5"/>
  <c r="G4" i="5" s="1"/>
  <c r="R37" i="5"/>
  <c r="L38" i="5"/>
  <c r="C39" i="5"/>
  <c r="F37" i="5"/>
  <c r="N38" i="5"/>
  <c r="E39" i="5"/>
  <c r="D38" i="5"/>
  <c r="K39" i="5"/>
  <c r="N37" i="5"/>
  <c r="P38" i="5"/>
  <c r="O37" i="5"/>
  <c r="F38" i="5"/>
  <c r="M39" i="5"/>
  <c r="S38" i="5"/>
  <c r="Q37" i="5"/>
  <c r="E37" i="5"/>
  <c r="M38" i="5"/>
  <c r="D39" i="5"/>
  <c r="C40" i="5"/>
  <c r="C38" i="5"/>
  <c r="K40" i="5"/>
  <c r="M37" i="5"/>
  <c r="O38" i="5"/>
  <c r="R40" i="5"/>
  <c r="E38" i="5"/>
  <c r="L39" i="5"/>
  <c r="S40" i="5"/>
  <c r="R38" i="5"/>
  <c r="P37" i="5"/>
  <c r="R39" i="5"/>
  <c r="K38" i="5"/>
  <c r="S39" i="5"/>
  <c r="Q38" i="5"/>
  <c r="O39" i="5"/>
  <c r="K37" i="5"/>
  <c r="L37" i="5"/>
  <c r="P40" i="5"/>
  <c r="O40" i="5"/>
  <c r="N39" i="5"/>
  <c r="F39" i="5"/>
  <c r="N40" i="5"/>
  <c r="S37" i="5"/>
  <c r="D40" i="5"/>
  <c r="F40" i="5"/>
  <c r="L40" i="5"/>
  <c r="Q39" i="5"/>
  <c r="C37" i="5"/>
  <c r="P39" i="5"/>
  <c r="Q40" i="5"/>
  <c r="D37" i="5"/>
  <c r="M40" i="5"/>
  <c r="E40" i="5"/>
  <c r="F18" i="4"/>
  <c r="H18" i="4"/>
  <c r="F17" i="4"/>
  <c r="H17" i="4"/>
  <c r="F12" i="4"/>
  <c r="G12" i="4" s="1"/>
  <c r="H12" i="4"/>
  <c r="H9" i="4"/>
  <c r="F9" i="4"/>
  <c r="F8" i="4"/>
  <c r="H8" i="4"/>
  <c r="K13" i="5"/>
  <c r="F19" i="4"/>
  <c r="H19" i="4"/>
  <c r="I38" i="1"/>
  <c r="I57" i="1"/>
  <c r="I52" i="1"/>
  <c r="I47" i="1"/>
  <c r="I54" i="1"/>
  <c r="I53" i="1"/>
  <c r="I64" i="1"/>
  <c r="I35" i="1"/>
  <c r="I58" i="1"/>
  <c r="I41" i="1"/>
  <c r="I56" i="1"/>
  <c r="I40" i="1"/>
  <c r="I55" i="1"/>
  <c r="I39" i="1"/>
  <c r="I46" i="1"/>
  <c r="I63" i="1"/>
  <c r="I51" i="1"/>
  <c r="I62" i="1"/>
  <c r="I50" i="1"/>
  <c r="I61" i="1"/>
  <c r="I49" i="1"/>
  <c r="I60" i="1"/>
  <c r="I48" i="1"/>
  <c r="I34" i="1"/>
  <c r="I59" i="1"/>
  <c r="C17" i="11"/>
  <c r="C5" i="11"/>
  <c r="J15" i="11"/>
  <c r="C16" i="11"/>
  <c r="C4" i="11"/>
  <c r="J14" i="11"/>
  <c r="J3" i="11"/>
  <c r="J13" i="11"/>
  <c r="J24" i="11"/>
  <c r="J12" i="11"/>
  <c r="J23" i="11"/>
  <c r="J11" i="11"/>
  <c r="J22" i="11"/>
  <c r="J10" i="11"/>
  <c r="J21" i="11"/>
  <c r="J9" i="11"/>
  <c r="J20" i="11"/>
  <c r="J8" i="11"/>
  <c r="J19" i="11"/>
  <c r="J7" i="11"/>
  <c r="J18" i="11"/>
  <c r="J6" i="11"/>
  <c r="J17" i="1"/>
  <c r="J8" i="1"/>
  <c r="J9" i="1"/>
  <c r="J13" i="1"/>
  <c r="J14" i="1"/>
  <c r="B6" i="1"/>
  <c r="B7" i="1" s="1"/>
  <c r="B8" i="1" s="1"/>
  <c r="B9" i="1" s="1"/>
  <c r="B10" i="1" s="1"/>
  <c r="F24" i="4"/>
  <c r="P9" i="1"/>
  <c r="P10" i="1"/>
  <c r="G30" i="5" l="1"/>
  <c r="H30" i="5" s="1"/>
  <c r="I30" i="5"/>
  <c r="J30" i="5" s="1"/>
  <c r="G29" i="5"/>
  <c r="H29" i="5" s="1"/>
  <c r="I29" i="5"/>
  <c r="J29" i="5" s="1"/>
  <c r="G28" i="5"/>
  <c r="H28" i="5" s="1"/>
  <c r="I28" i="5"/>
  <c r="J28" i="5" s="1"/>
  <c r="G27" i="5"/>
  <c r="H27" i="5" s="1"/>
  <c r="I27" i="5"/>
  <c r="J27" i="5" s="1"/>
  <c r="F3" i="4"/>
  <c r="H3" i="4"/>
  <c r="G8" i="4"/>
  <c r="I38" i="5"/>
  <c r="G38" i="5"/>
  <c r="H38" i="5" s="1"/>
  <c r="G40" i="5"/>
  <c r="H40" i="5" s="1"/>
  <c r="I40" i="5"/>
  <c r="J40" i="5" s="1"/>
  <c r="I37" i="5"/>
  <c r="G37" i="5"/>
  <c r="G39" i="5"/>
  <c r="H39" i="5" s="1"/>
  <c r="I39" i="5"/>
  <c r="J39" i="5" s="1"/>
  <c r="H24" i="4"/>
  <c r="F64" i="1"/>
  <c r="H38" i="1"/>
  <c r="I9" i="4" s="1"/>
  <c r="B45" i="5"/>
  <c r="B44" i="5"/>
  <c r="D44" i="5" s="1"/>
  <c r="I3" i="4" l="1"/>
  <c r="J37" i="5"/>
  <c r="G11" i="4" l="1"/>
  <c r="G19" i="4"/>
  <c r="G18" i="4"/>
  <c r="G17" i="4"/>
  <c r="K14" i="5" l="1"/>
  <c r="K15" i="5"/>
  <c r="P23" i="1"/>
  <c r="F35" i="1"/>
  <c r="H35" i="1"/>
  <c r="N36" i="1"/>
  <c r="C53" i="8" l="1"/>
  <c r="C55" i="8"/>
  <c r="C61" i="8"/>
  <c r="C59" i="8"/>
  <c r="C60" i="8"/>
  <c r="AM30" i="10"/>
  <c r="AL30" i="10"/>
  <c r="AK30" i="10"/>
  <c r="AJ30" i="10"/>
  <c r="AI30" i="10"/>
  <c r="C30" i="10"/>
  <c r="AO30" i="10" s="1"/>
  <c r="AO29" i="10"/>
  <c r="AM29" i="10"/>
  <c r="AL29" i="10"/>
  <c r="AK29" i="10"/>
  <c r="AJ29" i="10"/>
  <c r="AI29" i="10"/>
  <c r="C29" i="10"/>
  <c r="AM28" i="10"/>
  <c r="AL28" i="10"/>
  <c r="AK28" i="10"/>
  <c r="AJ28" i="10"/>
  <c r="AI28" i="10"/>
  <c r="C28" i="10"/>
  <c r="AO28" i="10" s="1"/>
  <c r="AM27" i="10"/>
  <c r="AL27" i="10"/>
  <c r="AK27" i="10"/>
  <c r="AJ27" i="10"/>
  <c r="AI27" i="10"/>
  <c r="C27" i="10"/>
  <c r="AO27" i="10" s="1"/>
  <c r="AM26" i="10"/>
  <c r="AL26" i="10"/>
  <c r="AK26" i="10"/>
  <c r="AJ26" i="10"/>
  <c r="AI26" i="10"/>
  <c r="C26" i="10"/>
  <c r="AO26" i="10" s="1"/>
  <c r="AM25" i="10"/>
  <c r="AL25" i="10"/>
  <c r="AK25" i="10"/>
  <c r="AJ25" i="10"/>
  <c r="AI25" i="10"/>
  <c r="C25" i="10"/>
  <c r="AO25" i="10" s="1"/>
  <c r="AM24" i="10"/>
  <c r="AL24" i="10"/>
  <c r="AK24" i="10"/>
  <c r="AJ24" i="10"/>
  <c r="AI24" i="10"/>
  <c r="C24" i="10"/>
  <c r="AO24" i="10" s="1"/>
  <c r="AM23" i="10"/>
  <c r="AL23" i="10"/>
  <c r="AK23" i="10"/>
  <c r="AJ23" i="10"/>
  <c r="AI23" i="10"/>
  <c r="C23" i="10"/>
  <c r="AO23" i="10" s="1"/>
  <c r="AM22" i="10"/>
  <c r="AL22" i="10"/>
  <c r="AK22" i="10"/>
  <c r="AJ22" i="10"/>
  <c r="AI22" i="10"/>
  <c r="C22" i="10"/>
  <c r="AO22" i="10" s="1"/>
  <c r="AM21" i="10"/>
  <c r="AL21" i="10"/>
  <c r="AK21" i="10"/>
  <c r="AJ21" i="10"/>
  <c r="AI21" i="10"/>
  <c r="C21" i="10"/>
  <c r="AO21" i="10" s="1"/>
  <c r="AM20" i="10"/>
  <c r="AL20" i="10"/>
  <c r="AK20" i="10"/>
  <c r="AJ20" i="10"/>
  <c r="AI20" i="10"/>
  <c r="C20" i="10"/>
  <c r="AO20" i="10" s="1"/>
  <c r="AM19" i="10"/>
  <c r="AL19" i="10"/>
  <c r="AK19" i="10"/>
  <c r="AJ19" i="10"/>
  <c r="AI19" i="10"/>
  <c r="C19" i="10"/>
  <c r="AO19" i="10" s="1"/>
  <c r="AM18" i="10"/>
  <c r="AL18" i="10"/>
  <c r="AK18" i="10"/>
  <c r="AJ18" i="10"/>
  <c r="AI18" i="10"/>
  <c r="C18" i="10"/>
  <c r="AO18" i="10" s="1"/>
  <c r="AO17" i="10"/>
  <c r="AM17" i="10"/>
  <c r="AL17" i="10"/>
  <c r="AK17" i="10"/>
  <c r="AJ17" i="10"/>
  <c r="AI17" i="10"/>
  <c r="C17" i="10"/>
  <c r="AM16" i="10"/>
  <c r="AL16" i="10"/>
  <c r="AK16" i="10"/>
  <c r="AJ16" i="10"/>
  <c r="AI16" i="10"/>
  <c r="C16" i="10"/>
  <c r="AO16" i="10" s="1"/>
  <c r="AM15" i="10"/>
  <c r="AL15" i="10"/>
  <c r="AK15" i="10"/>
  <c r="AJ15" i="10"/>
  <c r="AI15" i="10"/>
  <c r="C15" i="10"/>
  <c r="AO15" i="10" s="1"/>
  <c r="AM14" i="10"/>
  <c r="AL14" i="10"/>
  <c r="AK14" i="10"/>
  <c r="AJ14" i="10"/>
  <c r="AI14" i="10"/>
  <c r="C14" i="10"/>
  <c r="AO14" i="10" s="1"/>
  <c r="AM13" i="10"/>
  <c r="AL13" i="10"/>
  <c r="AK13" i="10"/>
  <c r="AJ13" i="10"/>
  <c r="AI13" i="10"/>
  <c r="C13" i="10"/>
  <c r="AO13" i="10" s="1"/>
  <c r="AM12" i="10"/>
  <c r="AL12" i="10"/>
  <c r="AK12" i="10"/>
  <c r="AJ12" i="10"/>
  <c r="AI12" i="10"/>
  <c r="C12" i="10"/>
  <c r="AO12" i="10" s="1"/>
  <c r="AM11" i="10"/>
  <c r="AL11" i="10"/>
  <c r="AK11" i="10"/>
  <c r="AJ11" i="10"/>
  <c r="AI11" i="10"/>
  <c r="C11" i="10"/>
  <c r="AO11" i="10" s="1"/>
  <c r="AM10" i="10"/>
  <c r="AL10" i="10"/>
  <c r="AK10" i="10"/>
  <c r="AJ10" i="10"/>
  <c r="AI10" i="10"/>
  <c r="C10" i="10"/>
  <c r="AO10" i="10" s="1"/>
  <c r="AM9" i="10"/>
  <c r="AL9" i="10"/>
  <c r="AK9" i="10"/>
  <c r="AJ9" i="10"/>
  <c r="AI9" i="10"/>
  <c r="C9" i="10"/>
  <c r="AO9" i="10" s="1"/>
  <c r="AM8" i="10"/>
  <c r="AL8" i="10"/>
  <c r="AK8" i="10"/>
  <c r="AJ8" i="10"/>
  <c r="AI8" i="10"/>
  <c r="C8" i="10"/>
  <c r="AO8" i="10" s="1"/>
  <c r="AM7" i="10"/>
  <c r="AL7" i="10"/>
  <c r="AK7" i="10"/>
  <c r="AJ7" i="10"/>
  <c r="AI7" i="10"/>
  <c r="C7" i="10"/>
  <c r="AO7" i="10" s="1"/>
  <c r="AM6" i="10"/>
  <c r="AL6" i="10"/>
  <c r="AK6" i="10"/>
  <c r="AJ6" i="10"/>
  <c r="AI6" i="10"/>
  <c r="C6" i="10"/>
  <c r="AO6" i="10" s="1"/>
  <c r="AO5" i="10"/>
  <c r="AM5" i="10"/>
  <c r="AL5" i="10"/>
  <c r="AK5" i="10"/>
  <c r="AJ5" i="10"/>
  <c r="AI5" i="10"/>
  <c r="C5" i="10"/>
  <c r="AM4" i="10"/>
  <c r="AL4" i="10"/>
  <c r="AK4" i="10"/>
  <c r="AJ4" i="10"/>
  <c r="AI4" i="10"/>
  <c r="C4" i="10"/>
  <c r="AO4" i="10" s="1"/>
  <c r="AM3" i="10"/>
  <c r="AL3" i="10"/>
  <c r="AK3" i="10"/>
  <c r="AJ3" i="10"/>
  <c r="AI3" i="10"/>
  <c r="C3" i="10"/>
  <c r="AO3" i="10" s="1"/>
  <c r="AM2" i="10"/>
  <c r="AL2" i="10"/>
  <c r="AK2" i="10"/>
  <c r="AJ2" i="10"/>
  <c r="AI2" i="10"/>
  <c r="C2" i="10"/>
  <c r="AO2" i="10" s="1"/>
  <c r="F52" i="1"/>
  <c r="F54" i="1"/>
  <c r="F56" i="1"/>
  <c r="F57" i="1"/>
  <c r="F58" i="1"/>
  <c r="F59" i="1"/>
  <c r="F61" i="1"/>
  <c r="F62" i="1"/>
  <c r="F45" i="1"/>
  <c r="F46" i="1"/>
  <c r="F47" i="1"/>
  <c r="F48" i="1"/>
  <c r="F49" i="1"/>
  <c r="F50" i="1"/>
  <c r="F51" i="1"/>
  <c r="J18" i="1"/>
  <c r="J22" i="1"/>
  <c r="J26" i="1"/>
  <c r="J29" i="1"/>
  <c r="J30" i="1"/>
  <c r="J31" i="1"/>
  <c r="H31" i="1"/>
  <c r="H39" i="1"/>
  <c r="J38" i="5" s="1"/>
  <c r="H40" i="1"/>
  <c r="H41" i="1"/>
  <c r="H34" i="1"/>
  <c r="I18" i="4"/>
  <c r="I19" i="4"/>
  <c r="I17" i="4"/>
  <c r="O33" i="1" l="1"/>
  <c r="O34" i="1"/>
  <c r="O35" i="1"/>
  <c r="I8" i="4"/>
  <c r="I12" i="4"/>
  <c r="I24" i="4"/>
  <c r="M33" i="1"/>
  <c r="O28" i="1"/>
  <c r="M32" i="1"/>
  <c r="M31" i="1"/>
  <c r="O32" i="1"/>
  <c r="M30" i="1"/>
  <c r="M26" i="1"/>
  <c r="O31" i="1"/>
  <c r="M29" i="1"/>
  <c r="O29" i="1"/>
  <c r="M35" i="1"/>
  <c r="M34" i="1"/>
  <c r="O30" i="1"/>
  <c r="M28" i="1"/>
  <c r="M27" i="1"/>
  <c r="O27" i="1"/>
  <c r="O26" i="1"/>
  <c r="M25" i="1"/>
  <c r="O25" i="1"/>
  <c r="AT21" i="10" a="1"/>
  <c r="AT21" i="10" s="1"/>
  <c r="AS23" i="10" a="1"/>
  <c r="AS23" i="10" s="1"/>
  <c r="AR25" i="10" a="1"/>
  <c r="AR25" i="10" s="1"/>
  <c r="AQ27" i="10" a="1"/>
  <c r="AQ27" i="10" s="1"/>
  <c r="AU4" i="10" a="1"/>
  <c r="AU4" i="10" s="1"/>
  <c r="AQ4" i="10" a="1"/>
  <c r="AQ4" i="10" s="1"/>
  <c r="AS15" i="10" a="1"/>
  <c r="AS15" i="10" s="1"/>
  <c r="AT20" i="10" a="1"/>
  <c r="AT20" i="10" s="1"/>
  <c r="AS5" i="10" a="1"/>
  <c r="AS5" i="10" s="1"/>
  <c r="AT15" i="10" a="1"/>
  <c r="AT15" i="10" s="1"/>
  <c r="AS29" i="10" a="1"/>
  <c r="AS29" i="10" s="1"/>
  <c r="AR19" i="10" a="1"/>
  <c r="AR19" i="10" s="1"/>
  <c r="AS8" i="10" a="1"/>
  <c r="AS8" i="10" s="1"/>
  <c r="AT8" i="10" a="1"/>
  <c r="AT8" i="10" s="1"/>
  <c r="AT5" i="10" a="1"/>
  <c r="AT5" i="10" s="1"/>
  <c r="AR29" i="10" a="1"/>
  <c r="AR29" i="10" s="1"/>
  <c r="AS24" i="10" a="1"/>
  <c r="AS24" i="10" s="1"/>
  <c r="AR14" i="10" a="1"/>
  <c r="AR14" i="10" s="1"/>
  <c r="AT24" i="10" a="1"/>
  <c r="AT24" i="10" s="1"/>
  <c r="AS14" i="10" a="1"/>
  <c r="AS14" i="10" s="1"/>
  <c r="AT3" i="10" a="1"/>
  <c r="AT3" i="10" s="1"/>
  <c r="AT6" i="10" a="1"/>
  <c r="AT6" i="10" s="1"/>
  <c r="AR3" i="10" a="1"/>
  <c r="AR3" i="10" s="1"/>
  <c r="AS6" i="10" a="1"/>
  <c r="AS6" i="10" s="1"/>
  <c r="AT13" i="10" a="1"/>
  <c r="AT13" i="10" s="1"/>
  <c r="AQ9" i="10" a="1"/>
  <c r="AQ9" i="10" s="1"/>
  <c r="AQ5" i="10" a="1"/>
  <c r="AQ5" i="10" s="1"/>
  <c r="AT23" i="10" a="1"/>
  <c r="AT23" i="10" s="1"/>
  <c r="AQ23" i="10" a="1"/>
  <c r="AQ23" i="10" s="1"/>
  <c r="AR5" i="10" a="1"/>
  <c r="AR5" i="10" s="1"/>
  <c r="AR8" i="10" a="1"/>
  <c r="AR8" i="10" s="1"/>
  <c r="AQ14" i="10" a="1"/>
  <c r="AQ14" i="10" s="1"/>
  <c r="AS20" i="10" a="1"/>
  <c r="AS20" i="10" s="1"/>
  <c r="AQ29" i="10" a="1"/>
  <c r="AQ29" i="10" s="1"/>
  <c r="AT4" i="10" a="1"/>
  <c r="AT4" i="10" s="1"/>
  <c r="AQ19" i="10" a="1"/>
  <c r="AQ19" i="10" s="1"/>
  <c r="AR22" i="10" a="1"/>
  <c r="AR22" i="10" s="1"/>
  <c r="AQ28" i="10" a="1"/>
  <c r="AQ28" i="10" s="1"/>
  <c r="AT28" i="10" a="1"/>
  <c r="AT28" i="10" s="1"/>
  <c r="AS3" i="10" a="1"/>
  <c r="AS3" i="10" s="1"/>
  <c r="AQ10" i="10" a="1"/>
  <c r="AQ10" i="10" s="1"/>
  <c r="AS19" i="10" a="1"/>
  <c r="AS19" i="10" s="1"/>
  <c r="AT25" i="10" a="1"/>
  <c r="AT25" i="10" s="1"/>
  <c r="AR10" i="10" a="1"/>
  <c r="AR10" i="10" s="1"/>
  <c r="AS10" i="10" a="1"/>
  <c r="AS10" i="10" s="1"/>
  <c r="AT18" i="10" a="1"/>
  <c r="AT18" i="10" s="1"/>
  <c r="AQ24" i="10" a="1"/>
  <c r="AQ24" i="10" s="1"/>
  <c r="AR27" i="10" a="1"/>
  <c r="AR27" i="10" s="1"/>
  <c r="AT10" i="10" a="1"/>
  <c r="AT10" i="10" s="1"/>
  <c r="AR24" i="10" a="1"/>
  <c r="AR24" i="10" s="1"/>
  <c r="AR4" i="10" a="1"/>
  <c r="AR4" i="10" s="1"/>
  <c r="AR9" i="10" a="1"/>
  <c r="AR9" i="10" s="1"/>
  <c r="AS13" i="10" a="1"/>
  <c r="AS13" i="10" s="1"/>
  <c r="AS18" i="10" a="1"/>
  <c r="AS18" i="10" s="1"/>
  <c r="AQ22" i="10" a="1"/>
  <c r="AQ22" i="10" s="1"/>
  <c r="AR28" i="10" a="1"/>
  <c r="AR28" i="10" s="1"/>
  <c r="AT29" i="10" a="1"/>
  <c r="AT29" i="10" s="1"/>
  <c r="AQ17" i="10" a="1"/>
  <c r="AQ17" i="10" s="1"/>
  <c r="AS27" i="10" a="1"/>
  <c r="AS27" i="10" s="1"/>
  <c r="AR12" i="10" a="1"/>
  <c r="AR12" i="10" s="1"/>
  <c r="AR17" i="10" a="1"/>
  <c r="AR17" i="10" s="1"/>
  <c r="AT22" i="10" a="1"/>
  <c r="AT22" i="10" s="1"/>
  <c r="AQ26" i="10" a="1"/>
  <c r="AQ26" i="10" s="1"/>
  <c r="AT27" i="10" a="1"/>
  <c r="AT27" i="10" s="1"/>
  <c r="AS22" i="10" a="1"/>
  <c r="AS22" i="10" s="1"/>
  <c r="AQ7" i="10" a="1"/>
  <c r="AQ7" i="10" s="1"/>
  <c r="AS12" i="10" a="1"/>
  <c r="AS12" i="10" s="1"/>
  <c r="AQ16" i="10" a="1"/>
  <c r="AQ16" i="10" s="1"/>
  <c r="AS17" i="10" a="1"/>
  <c r="AS17" i="10" s="1"/>
  <c r="AQ21" i="10" a="1"/>
  <c r="AQ21" i="10" s="1"/>
  <c r="AR26" i="10" a="1"/>
  <c r="AR26" i="10" s="1"/>
  <c r="AQ12" i="10" a="1"/>
  <c r="AQ12" i="10" s="1"/>
  <c r="AR7" i="10" a="1"/>
  <c r="AR7" i="10" s="1"/>
  <c r="AQ11" i="10" a="1"/>
  <c r="AQ11" i="10" s="1"/>
  <c r="AT12" i="10" a="1"/>
  <c r="AT12" i="10" s="1"/>
  <c r="AR16" i="10" a="1"/>
  <c r="AR16" i="10" s="1"/>
  <c r="AT17" i="10" a="1"/>
  <c r="AT17" i="10" s="1"/>
  <c r="AR21" i="10" a="1"/>
  <c r="AR21" i="10" s="1"/>
  <c r="AS26" i="10" a="1"/>
  <c r="AS26" i="10" s="1"/>
  <c r="AS7" i="10" a="1"/>
  <c r="AS7" i="10" s="1"/>
  <c r="AT11" i="10" a="1"/>
  <c r="AT11" i="10" s="1"/>
  <c r="AR15" i="10" a="1"/>
  <c r="AR15" i="10" s="1"/>
  <c r="AT16" i="10" a="1"/>
  <c r="AT16" i="10" s="1"/>
  <c r="AR20" i="10" a="1"/>
  <c r="AR20" i="10" s="1"/>
  <c r="AS25" i="10" a="1"/>
  <c r="AS25" i="10" s="1"/>
  <c r="AV29" i="10" a="1"/>
  <c r="AV29" i="10" s="1"/>
  <c r="AV17" i="10" a="1"/>
  <c r="AV17" i="10" s="1"/>
  <c r="AV5" i="10" a="1"/>
  <c r="AV5" i="10" s="1"/>
  <c r="AV6" i="10" a="1"/>
  <c r="AV6" i="10" s="1"/>
  <c r="AV28" i="10" a="1"/>
  <c r="AV28" i="10" s="1"/>
  <c r="AV16" i="10" a="1"/>
  <c r="AV16" i="10" s="1"/>
  <c r="AV4" i="10" a="1"/>
  <c r="AV4" i="10" s="1"/>
  <c r="AV22" i="10" a="1"/>
  <c r="AV22" i="10" s="1"/>
  <c r="AV10" i="10" a="1"/>
  <c r="AV10" i="10" s="1"/>
  <c r="AV20" i="10" a="1"/>
  <c r="AV20" i="10" s="1"/>
  <c r="AV13" i="10" a="1"/>
  <c r="AV13" i="10" s="1"/>
  <c r="AV23" i="10" a="1"/>
  <c r="AV23" i="10" s="1"/>
  <c r="AV27" i="10" a="1"/>
  <c r="AV27" i="10" s="1"/>
  <c r="AV15" i="10" a="1"/>
  <c r="AV15" i="10" s="1"/>
  <c r="AV3" i="10" a="1"/>
  <c r="AV3" i="10" s="1"/>
  <c r="AV30" i="10" a="1"/>
  <c r="AV30" i="10" s="1"/>
  <c r="AV8" i="10" a="1"/>
  <c r="AV8" i="10" s="1"/>
  <c r="AV25" i="10" a="1"/>
  <c r="AV25" i="10" s="1"/>
  <c r="AV18" i="10" a="1"/>
  <c r="AV18" i="10" s="1"/>
  <c r="AV11" i="10" a="1"/>
  <c r="AV11" i="10" s="1"/>
  <c r="AV2" i="10" a="1"/>
  <c r="AV2" i="10" s="1"/>
  <c r="AU11" i="10" a="1"/>
  <c r="AU11" i="10" s="1"/>
  <c r="AU28" i="10" a="1"/>
  <c r="AU28" i="10" s="1"/>
  <c r="AV14" i="10" a="1"/>
  <c r="AV14" i="10" s="1"/>
  <c r="AU9" i="10" a="1"/>
  <c r="AU9" i="10" s="1"/>
  <c r="AU26" i="10" a="1"/>
  <c r="AU26" i="10" s="1"/>
  <c r="AV12" i="10" a="1"/>
  <c r="AV12" i="10" s="1"/>
  <c r="AV19" i="10" a="1"/>
  <c r="AV19" i="10" s="1"/>
  <c r="AV24" i="10" a="1"/>
  <c r="AV24" i="10" s="1"/>
  <c r="AV21" i="10" a="1"/>
  <c r="AV21" i="10" s="1"/>
  <c r="AU19" i="10" a="1"/>
  <c r="AU19" i="10" s="1"/>
  <c r="AU7" i="10" a="1"/>
  <c r="AU7" i="10" s="1"/>
  <c r="AU10" i="10" a="1"/>
  <c r="AU10" i="10" s="1"/>
  <c r="AU27" i="10" a="1"/>
  <c r="AU27" i="10" s="1"/>
  <c r="AU15" i="10" a="1"/>
  <c r="AU15" i="10" s="1"/>
  <c r="AU20" i="10" a="1"/>
  <c r="AU20" i="10" s="1"/>
  <c r="AU25" i="10" a="1"/>
  <c r="AU25" i="10" s="1"/>
  <c r="AU13" i="10" a="1"/>
  <c r="AU13" i="10" s="1"/>
  <c r="AU24" i="10" a="1"/>
  <c r="AU24" i="10" s="1"/>
  <c r="AU12" i="10" a="1"/>
  <c r="AU12" i="10" s="1"/>
  <c r="AU3" i="10" a="1"/>
  <c r="AU3" i="10" s="1"/>
  <c r="AU18" i="10" a="1"/>
  <c r="AU18" i="10" s="1"/>
  <c r="AU6" i="10" a="1"/>
  <c r="AU6" i="10" s="1"/>
  <c r="AU29" i="10" a="1"/>
  <c r="AU29" i="10" s="1"/>
  <c r="AU17" i="10" a="1"/>
  <c r="AU17" i="10" s="1"/>
  <c r="AU5" i="10" a="1"/>
  <c r="AU5" i="10" s="1"/>
  <c r="AU22" i="10" a="1"/>
  <c r="AU22" i="10" s="1"/>
  <c r="AU8" i="10" a="1"/>
  <c r="AU8" i="10" s="1"/>
  <c r="AU14" i="10" a="1"/>
  <c r="AU14" i="10" s="1"/>
  <c r="AV7" i="10" a="1"/>
  <c r="AV7" i="10" s="1"/>
  <c r="AU21" i="10" a="1"/>
  <c r="AU21" i="10" s="1"/>
  <c r="AV9" i="10" a="1"/>
  <c r="AV9" i="10" s="1"/>
  <c r="AU16" i="10" a="1"/>
  <c r="AU16" i="10" s="1"/>
  <c r="AU23" i="10" a="1"/>
  <c r="AU23" i="10" s="1"/>
  <c r="AV26" i="10" a="1"/>
  <c r="AV26" i="10" s="1"/>
  <c r="AT7" i="10" a="1"/>
  <c r="AT7" i="10" s="1"/>
  <c r="AS9" i="10" a="1"/>
  <c r="AS9" i="10" s="1"/>
  <c r="AR11" i="10" a="1"/>
  <c r="AR11" i="10" s="1"/>
  <c r="AQ13" i="10" a="1"/>
  <c r="AQ13" i="10" s="1"/>
  <c r="AT19" i="10" a="1"/>
  <c r="AT19" i="10" s="1"/>
  <c r="AS21" i="10" a="1"/>
  <c r="AS21" i="10" s="1"/>
  <c r="AR23" i="10" a="1"/>
  <c r="AR23" i="10" s="1"/>
  <c r="AQ25" i="10" a="1"/>
  <c r="AQ25" i="10" s="1"/>
  <c r="AQ6" i="10" a="1"/>
  <c r="AQ6" i="10" s="1"/>
  <c r="AS4" i="10" a="1"/>
  <c r="AS4" i="10" s="1"/>
  <c r="AR6" i="10" a="1"/>
  <c r="AR6" i="10" s="1"/>
  <c r="AQ8" i="10" a="1"/>
  <c r="AQ8" i="10" s="1"/>
  <c r="AT14" i="10" a="1"/>
  <c r="AT14" i="10" s="1"/>
  <c r="AS16" i="10" a="1"/>
  <c r="AS16" i="10" s="1"/>
  <c r="AR18" i="10" a="1"/>
  <c r="AR18" i="10" s="1"/>
  <c r="AQ20" i="10" a="1"/>
  <c r="AQ20" i="10" s="1"/>
  <c r="AT26" i="10" a="1"/>
  <c r="AT26" i="10" s="1"/>
  <c r="AS28" i="10" a="1"/>
  <c r="AS28" i="10" s="1"/>
  <c r="AQ18" i="10" a="1"/>
  <c r="AQ18" i="10" s="1"/>
  <c r="AQ3" i="10" a="1"/>
  <c r="AQ3" i="10" s="1"/>
  <c r="AT9" i="10" a="1"/>
  <c r="AT9" i="10" s="1"/>
  <c r="AS11" i="10" a="1"/>
  <c r="AS11" i="10" s="1"/>
  <c r="AR13" i="10" a="1"/>
  <c r="AR13" i="10" s="1"/>
  <c r="AQ15" i="10" a="1"/>
  <c r="AQ15" i="10" s="1"/>
  <c r="AM68" i="8"/>
  <c r="AL68" i="8"/>
  <c r="AK68" i="8"/>
  <c r="AJ68" i="8"/>
  <c r="AI68" i="8"/>
  <c r="AM67" i="8"/>
  <c r="AL67" i="8"/>
  <c r="AK67" i="8"/>
  <c r="AJ67" i="8"/>
  <c r="AI67" i="8"/>
  <c r="AM66" i="8"/>
  <c r="AL66" i="8"/>
  <c r="AK66" i="8"/>
  <c r="AJ66" i="8"/>
  <c r="AI66" i="8"/>
  <c r="AM65" i="8"/>
  <c r="AL65" i="8"/>
  <c r="AK65" i="8"/>
  <c r="AJ65" i="8"/>
  <c r="AI65" i="8"/>
  <c r="AM64" i="8"/>
  <c r="AL64" i="8"/>
  <c r="AK64" i="8"/>
  <c r="AJ64" i="8"/>
  <c r="AI64" i="8"/>
  <c r="AM63" i="8"/>
  <c r="AL63" i="8"/>
  <c r="AK63" i="8"/>
  <c r="AJ63" i="8"/>
  <c r="AI63" i="8"/>
  <c r="AM62" i="8"/>
  <c r="AL62" i="8"/>
  <c r="AK62" i="8"/>
  <c r="AJ62" i="8"/>
  <c r="AI62" i="8"/>
  <c r="AM60" i="8"/>
  <c r="AL60" i="8"/>
  <c r="AK60" i="8"/>
  <c r="AJ60" i="8"/>
  <c r="AI60" i="8"/>
  <c r="AM59" i="8"/>
  <c r="AL59" i="8"/>
  <c r="AK59" i="8"/>
  <c r="AJ59" i="8"/>
  <c r="AI59" i="8"/>
  <c r="AM61" i="8"/>
  <c r="AL61" i="8"/>
  <c r="AK61" i="8"/>
  <c r="AJ61" i="8"/>
  <c r="AI61" i="8"/>
  <c r="AM55" i="8"/>
  <c r="AL55" i="8"/>
  <c r="AK55" i="8"/>
  <c r="AJ55" i="8"/>
  <c r="AI55" i="8"/>
  <c r="AM53" i="8"/>
  <c r="AL53" i="8"/>
  <c r="AK53" i="8"/>
  <c r="AJ53" i="8"/>
  <c r="AI53" i="8"/>
  <c r="AM58" i="8"/>
  <c r="AL58" i="8"/>
  <c r="AK58" i="8"/>
  <c r="AJ58" i="8"/>
  <c r="AI58" i="8"/>
  <c r="C58" i="8"/>
  <c r="AO58" i="8" s="1"/>
  <c r="AM57" i="8"/>
  <c r="AL57" i="8"/>
  <c r="AK57" i="8"/>
  <c r="AJ57" i="8"/>
  <c r="AI57" i="8"/>
  <c r="C57" i="8"/>
  <c r="AO57" i="8" s="1"/>
  <c r="AM56" i="8"/>
  <c r="AL56" i="8"/>
  <c r="AK56" i="8"/>
  <c r="AJ56" i="8"/>
  <c r="AI56" i="8"/>
  <c r="C56" i="8"/>
  <c r="AM54" i="8"/>
  <c r="AL54" i="8"/>
  <c r="AK54" i="8"/>
  <c r="AJ54" i="8"/>
  <c r="AI54" i="8"/>
  <c r="C54" i="8"/>
  <c r="AM52" i="8"/>
  <c r="AL52" i="8"/>
  <c r="AK52" i="8"/>
  <c r="AJ52" i="8"/>
  <c r="AI52" i="8"/>
  <c r="C52" i="8"/>
  <c r="AM51" i="8"/>
  <c r="AL51" i="8"/>
  <c r="AK51" i="8"/>
  <c r="AJ51" i="8"/>
  <c r="AI51" i="8"/>
  <c r="C51" i="8"/>
  <c r="AO51" i="8" s="1"/>
  <c r="AM50" i="8"/>
  <c r="AL50" i="8"/>
  <c r="AK50" i="8"/>
  <c r="AJ50" i="8"/>
  <c r="AI50" i="8"/>
  <c r="C50" i="8"/>
  <c r="AM49" i="8"/>
  <c r="AL49" i="8"/>
  <c r="AK49" i="8"/>
  <c r="AJ49" i="8"/>
  <c r="AI49" i="8"/>
  <c r="C49" i="8"/>
  <c r="AM48" i="8"/>
  <c r="AL48" i="8"/>
  <c r="AK48" i="8"/>
  <c r="AJ48" i="8"/>
  <c r="AI48" i="8"/>
  <c r="C48" i="8"/>
  <c r="AM47" i="8"/>
  <c r="AL47" i="8"/>
  <c r="AK47" i="8"/>
  <c r="AJ47" i="8"/>
  <c r="AI47" i="8"/>
  <c r="C47" i="8"/>
  <c r="AM46" i="8"/>
  <c r="AL46" i="8"/>
  <c r="AK46" i="8"/>
  <c r="AJ46" i="8"/>
  <c r="AI46" i="8"/>
  <c r="C46" i="8"/>
  <c r="AM45" i="8"/>
  <c r="AL45" i="8"/>
  <c r="AK45" i="8"/>
  <c r="AJ45" i="8"/>
  <c r="AI45" i="8"/>
  <c r="C45" i="8"/>
  <c r="AM44" i="8"/>
  <c r="AL44" i="8"/>
  <c r="AK44" i="8"/>
  <c r="AJ44" i="8"/>
  <c r="AI44" i="8"/>
  <c r="C44" i="8"/>
  <c r="AM43" i="8"/>
  <c r="AL43" i="8"/>
  <c r="AK43" i="8"/>
  <c r="AJ43" i="8"/>
  <c r="AI43" i="8"/>
  <c r="C43" i="8"/>
  <c r="AM42" i="8"/>
  <c r="AL42" i="8"/>
  <c r="AK42" i="8"/>
  <c r="AJ42" i="8"/>
  <c r="AI42" i="8"/>
  <c r="C42" i="8"/>
  <c r="AM41" i="8"/>
  <c r="AL41" i="8"/>
  <c r="AK41" i="8"/>
  <c r="AJ41" i="8"/>
  <c r="AI41" i="8"/>
  <c r="C41" i="8"/>
  <c r="AM40" i="8"/>
  <c r="AL40" i="8"/>
  <c r="AK40" i="8"/>
  <c r="AJ40" i="8"/>
  <c r="AI40" i="8"/>
  <c r="C40" i="8"/>
  <c r="AM39" i="8"/>
  <c r="AL39" i="8"/>
  <c r="AK39" i="8"/>
  <c r="AJ39" i="8"/>
  <c r="AI39" i="8"/>
  <c r="C39" i="8"/>
  <c r="AM38" i="8"/>
  <c r="AL38" i="8"/>
  <c r="AK38" i="8"/>
  <c r="AJ38" i="8"/>
  <c r="AI38" i="8"/>
  <c r="C38" i="8"/>
  <c r="AM37" i="8"/>
  <c r="AL37" i="8"/>
  <c r="AK37" i="8"/>
  <c r="AJ37" i="8"/>
  <c r="AI37" i="8"/>
  <c r="C37" i="8"/>
  <c r="AM36" i="8"/>
  <c r="AL36" i="8"/>
  <c r="AK36" i="8"/>
  <c r="AJ36" i="8"/>
  <c r="AI36" i="8"/>
  <c r="C36" i="8"/>
  <c r="AM35" i="8"/>
  <c r="AL35" i="8"/>
  <c r="AK35" i="8"/>
  <c r="AJ35" i="8"/>
  <c r="AI35" i="8"/>
  <c r="C35" i="8"/>
  <c r="AM34" i="8"/>
  <c r="AL34" i="8"/>
  <c r="AK34" i="8"/>
  <c r="AJ34" i="8"/>
  <c r="AI34" i="8"/>
  <c r="C34" i="8"/>
  <c r="AM33" i="8"/>
  <c r="AL33" i="8"/>
  <c r="AK33" i="8"/>
  <c r="AJ33" i="8"/>
  <c r="AI33" i="8"/>
  <c r="C33" i="8"/>
  <c r="AM30" i="8"/>
  <c r="AL30" i="8"/>
  <c r="AK30" i="8"/>
  <c r="AJ30" i="8"/>
  <c r="AI30" i="8"/>
  <c r="C30" i="8"/>
  <c r="AM26" i="8"/>
  <c r="AL26" i="8"/>
  <c r="AK26" i="8"/>
  <c r="AJ26" i="8"/>
  <c r="AI26" i="8"/>
  <c r="C26" i="8"/>
  <c r="AM25" i="8"/>
  <c r="AL25" i="8"/>
  <c r="AK25" i="8"/>
  <c r="AJ25" i="8"/>
  <c r="AI25" i="8"/>
  <c r="C25" i="8"/>
  <c r="AO25" i="8" s="1"/>
  <c r="AM24" i="8"/>
  <c r="AL24" i="8"/>
  <c r="AK24" i="8"/>
  <c r="AJ24" i="8"/>
  <c r="AI24" i="8"/>
  <c r="C24" i="8"/>
  <c r="AM23" i="8"/>
  <c r="AL23" i="8"/>
  <c r="AK23" i="8"/>
  <c r="AJ23" i="8"/>
  <c r="AI23" i="8"/>
  <c r="C23" i="8"/>
  <c r="AO23" i="8" s="1"/>
  <c r="AM22" i="8"/>
  <c r="AL22" i="8"/>
  <c r="AK22" i="8"/>
  <c r="AJ22" i="8"/>
  <c r="AI22" i="8"/>
  <c r="C22" i="8"/>
  <c r="AM21" i="8"/>
  <c r="AL21" i="8"/>
  <c r="AK21" i="8"/>
  <c r="AJ21" i="8"/>
  <c r="AI21" i="8"/>
  <c r="C21" i="8"/>
  <c r="AM20" i="8"/>
  <c r="AL20" i="8"/>
  <c r="AK20" i="8"/>
  <c r="AJ20" i="8"/>
  <c r="AI20" i="8"/>
  <c r="C20" i="8"/>
  <c r="AM19" i="8"/>
  <c r="AL19" i="8"/>
  <c r="AK19" i="8"/>
  <c r="AJ19" i="8"/>
  <c r="AI19" i="8"/>
  <c r="C19" i="8"/>
  <c r="AO19" i="8" s="1"/>
  <c r="AM18" i="8"/>
  <c r="AL18" i="8"/>
  <c r="AK18" i="8"/>
  <c r="AJ18" i="8"/>
  <c r="AI18" i="8"/>
  <c r="C18" i="8"/>
  <c r="AM17" i="8"/>
  <c r="AL17" i="8"/>
  <c r="AK17" i="8"/>
  <c r="AJ17" i="8"/>
  <c r="AI17" i="8"/>
  <c r="C17" i="8"/>
  <c r="AO17" i="8" s="1"/>
  <c r="AM16" i="8"/>
  <c r="AL16" i="8"/>
  <c r="AK16" i="8"/>
  <c r="AJ16" i="8"/>
  <c r="AI16" i="8"/>
  <c r="C16" i="8"/>
  <c r="AM15" i="8"/>
  <c r="AL15" i="8"/>
  <c r="AK15" i="8"/>
  <c r="AJ15" i="8"/>
  <c r="AI15" i="8"/>
  <c r="C15" i="8"/>
  <c r="AO15" i="8" s="1"/>
  <c r="AM14" i="8"/>
  <c r="AL14" i="8"/>
  <c r="AK14" i="8"/>
  <c r="AJ14" i="8"/>
  <c r="AI14" i="8"/>
  <c r="C14" i="8"/>
  <c r="AM13" i="8"/>
  <c r="AL13" i="8"/>
  <c r="AK13" i="8"/>
  <c r="AJ13" i="8"/>
  <c r="AI13" i="8"/>
  <c r="C13" i="8"/>
  <c r="AM12" i="8"/>
  <c r="AL12" i="8"/>
  <c r="AK12" i="8"/>
  <c r="AJ12" i="8"/>
  <c r="AI12" i="8"/>
  <c r="C12" i="8"/>
  <c r="AO12" i="8" s="1"/>
  <c r="AM28" i="8"/>
  <c r="AL28" i="8"/>
  <c r="AK28" i="8"/>
  <c r="AJ28" i="8"/>
  <c r="AI28" i="8"/>
  <c r="C28" i="8"/>
  <c r="AM29" i="8"/>
  <c r="AL29" i="8"/>
  <c r="AK29" i="8"/>
  <c r="AJ29" i="8"/>
  <c r="AI29" i="8"/>
  <c r="C29" i="8"/>
  <c r="AM27" i="8"/>
  <c r="AL27" i="8"/>
  <c r="AK27" i="8"/>
  <c r="AJ27" i="8"/>
  <c r="AI27" i="8"/>
  <c r="C27" i="8"/>
  <c r="AM11" i="8"/>
  <c r="AL11" i="8"/>
  <c r="AK11" i="8"/>
  <c r="AJ11" i="8"/>
  <c r="AI11" i="8"/>
  <c r="C11" i="8"/>
  <c r="AO11" i="8" s="1"/>
  <c r="AM10" i="8"/>
  <c r="AL10" i="8"/>
  <c r="AK10" i="8"/>
  <c r="AJ10" i="8"/>
  <c r="AI10" i="8"/>
  <c r="C10" i="8"/>
  <c r="AM9" i="8"/>
  <c r="AL9" i="8"/>
  <c r="AK9" i="8"/>
  <c r="AJ9" i="8"/>
  <c r="AI9" i="8"/>
  <c r="C9" i="8"/>
  <c r="AM8" i="8"/>
  <c r="AL8" i="8"/>
  <c r="AK8" i="8"/>
  <c r="AJ8" i="8"/>
  <c r="AI8" i="8"/>
  <c r="C8" i="8"/>
  <c r="AM7" i="8"/>
  <c r="AL7" i="8"/>
  <c r="AK7" i="8"/>
  <c r="AJ7" i="8"/>
  <c r="AI7" i="8"/>
  <c r="C7" i="8"/>
  <c r="AO7" i="8" s="1"/>
  <c r="AM6" i="8"/>
  <c r="AL6" i="8"/>
  <c r="AK6" i="8"/>
  <c r="AJ6" i="8"/>
  <c r="AI6" i="8"/>
  <c r="C6" i="8"/>
  <c r="AM5" i="8"/>
  <c r="AL5" i="8"/>
  <c r="AK5" i="8"/>
  <c r="AJ5" i="8"/>
  <c r="AI5" i="8"/>
  <c r="C5" i="8"/>
  <c r="AM4" i="8"/>
  <c r="AL4" i="8"/>
  <c r="AK4" i="8"/>
  <c r="AJ4" i="8"/>
  <c r="AI4" i="8"/>
  <c r="C4" i="8"/>
  <c r="AM3" i="8"/>
  <c r="AL3" i="8"/>
  <c r="AK3" i="8"/>
  <c r="AJ3" i="8"/>
  <c r="AI3" i="8"/>
  <c r="C3" i="8"/>
  <c r="AO3" i="8" s="1"/>
  <c r="AM2" i="8"/>
  <c r="AL2" i="8"/>
  <c r="AK2" i="8"/>
  <c r="AJ2" i="8"/>
  <c r="AI2" i="8"/>
  <c r="C2" i="8"/>
  <c r="AR8" i="8" l="1" a="1"/>
  <c r="AR8" i="8" s="1"/>
  <c r="AQ10" i="8" a="1"/>
  <c r="AQ10" i="8" s="1"/>
  <c r="AO29" i="8"/>
  <c r="AO2" i="8"/>
  <c r="AO4" i="8"/>
  <c r="AO8" i="8"/>
  <c r="AO27" i="8"/>
  <c r="AO28" i="8"/>
  <c r="AO13" i="8"/>
  <c r="AO34" i="8"/>
  <c r="AO36" i="8"/>
  <c r="AO38" i="8"/>
  <c r="AO40" i="8"/>
  <c r="AO42" i="8"/>
  <c r="AO44" i="8"/>
  <c r="AO48" i="8"/>
  <c r="AO54" i="8"/>
  <c r="AO45" i="8"/>
  <c r="AO21" i="8"/>
  <c r="AO6" i="8"/>
  <c r="AO52" i="8"/>
  <c r="AO56" i="8"/>
  <c r="AO9" i="8"/>
  <c r="AO14" i="8"/>
  <c r="AO16" i="8"/>
  <c r="AO18" i="8"/>
  <c r="AO20" i="8"/>
  <c r="AO22" i="8"/>
  <c r="AO24" i="8"/>
  <c r="AO26" i="8"/>
  <c r="AO33" i="8"/>
  <c r="AO35" i="8"/>
  <c r="AO39" i="8"/>
  <c r="AO41" i="8"/>
  <c r="AO43" i="8"/>
  <c r="AO37" i="8"/>
  <c r="AO5" i="8"/>
  <c r="AO46" i="8"/>
  <c r="AO10" i="8"/>
  <c r="AO30" i="8"/>
  <c r="AO47" i="8"/>
  <c r="AO49" i="8"/>
  <c r="AO50" i="8"/>
  <c r="AS9" i="8" a="1"/>
  <c r="AS9" i="8" s="1"/>
  <c r="AS15" i="8" a="1"/>
  <c r="AS15" i="8" s="1"/>
  <c r="AQ24" i="8" a="1"/>
  <c r="AQ24" i="8" s="1"/>
  <c r="AR22" i="8" a="1"/>
  <c r="AR22" i="8" s="1"/>
  <c r="AT7" i="8" a="1"/>
  <c r="AT7" i="8" s="1"/>
  <c r="AR17" i="8" a="1"/>
  <c r="AR17" i="8" s="1"/>
  <c r="AR3" i="8" a="1"/>
  <c r="AR3" i="8" s="1"/>
  <c r="AS20" i="8" a="1"/>
  <c r="AS20" i="8" s="1"/>
  <c r="AU16" i="8" a="1"/>
  <c r="AU16" i="8" s="1"/>
  <c r="AT16" i="8" a="1"/>
  <c r="AT16" i="8" s="1"/>
  <c r="AT18" i="8" a="1"/>
  <c r="AT18" i="8" s="1"/>
  <c r="AT4" i="8" a="1"/>
  <c r="AT4" i="8" s="1"/>
  <c r="AQ29" i="8" a="1"/>
  <c r="AQ29" i="8" s="1"/>
  <c r="AS6" i="8" a="1"/>
  <c r="AS6" i="8" s="1"/>
  <c r="AS7" i="8" a="1"/>
  <c r="AS7" i="8" s="1"/>
  <c r="AT11" i="8" a="1"/>
  <c r="AT11" i="8" s="1"/>
  <c r="AS22" i="8" a="1"/>
  <c r="AS22" i="8" s="1"/>
  <c r="AQ26" i="8" a="1"/>
  <c r="AQ26" i="8" s="1"/>
  <c r="AQ19" i="8" a="1"/>
  <c r="AQ19" i="8" s="1"/>
  <c r="AU9" i="8" a="1"/>
  <c r="AU9" i="8" s="1"/>
  <c r="AQ14" i="8" a="1"/>
  <c r="AQ14" i="8" s="1"/>
  <c r="AT20" i="8" a="1"/>
  <c r="AT20" i="8" s="1"/>
  <c r="AR24" i="8" a="1"/>
  <c r="AR24" i="8" s="1"/>
  <c r="AU4" i="8" a="1"/>
  <c r="AU4" i="8" s="1"/>
  <c r="AT6" i="8" a="1"/>
  <c r="AT6" i="8" s="1"/>
  <c r="AS8" i="8" a="1"/>
  <c r="AS8" i="8" s="1"/>
  <c r="AR10" i="8" a="1"/>
  <c r="AR10" i="8" s="1"/>
  <c r="AQ27" i="8" a="1"/>
  <c r="AQ27" i="8" s="1"/>
  <c r="AU13" i="8" a="1"/>
  <c r="AU13" i="8" s="1"/>
  <c r="AT15" i="8" a="1"/>
  <c r="AT15" i="8" s="1"/>
  <c r="AS17" i="8" a="1"/>
  <c r="AS17" i="8" s="1"/>
  <c r="AR19" i="8" a="1"/>
  <c r="AR19" i="8" s="1"/>
  <c r="AQ21" i="8" a="1"/>
  <c r="AQ21" i="8" s="1"/>
  <c r="AU25" i="8" a="1"/>
  <c r="AU25" i="8" s="1"/>
  <c r="AT25" i="8" a="1"/>
  <c r="AT25" i="8" s="1"/>
  <c r="AQ5" i="8" a="1"/>
  <c r="AQ5" i="8" s="1"/>
  <c r="AR12" i="8" a="1"/>
  <c r="AR12" i="8" s="1"/>
  <c r="AS3" i="8" a="1"/>
  <c r="AS3" i="8" s="1"/>
  <c r="AU11" i="8" a="1"/>
  <c r="AU11" i="8" s="1"/>
  <c r="AS12" i="8" a="1"/>
  <c r="AS12" i="8" s="1"/>
  <c r="AR14" i="8" a="1"/>
  <c r="AR14" i="8" s="1"/>
  <c r="AQ16" i="8" a="1"/>
  <c r="AQ16" i="8" s="1"/>
  <c r="AU20" i="8" a="1"/>
  <c r="AU20" i="8" s="1"/>
  <c r="AT22" i="8" a="1"/>
  <c r="AT22" i="8" s="1"/>
  <c r="AS24" i="8" a="1"/>
  <c r="AS24" i="8" s="1"/>
  <c r="AR26" i="8" a="1"/>
  <c r="AR26" i="8" s="1"/>
  <c r="AU23" i="8" a="1"/>
  <c r="AU23" i="8" s="1"/>
  <c r="AQ7" i="8" a="1"/>
  <c r="AQ7" i="8" s="1"/>
  <c r="AT29" i="8" a="1"/>
  <c r="AT29" i="8" s="1"/>
  <c r="AU6" i="8" a="1"/>
  <c r="AU6" i="8" s="1"/>
  <c r="AT8" i="8" a="1"/>
  <c r="AT8" i="8" s="1"/>
  <c r="AS10" i="8" a="1"/>
  <c r="AS10" i="8" s="1"/>
  <c r="AR27" i="8" a="1"/>
  <c r="AR27" i="8" s="1"/>
  <c r="AQ28" i="8" a="1"/>
  <c r="AQ28" i="8" s="1"/>
  <c r="AU15" i="8" a="1"/>
  <c r="AU15" i="8" s="1"/>
  <c r="AT17" i="8" a="1"/>
  <c r="AT17" i="8" s="1"/>
  <c r="AS19" i="8" a="1"/>
  <c r="AS19" i="8" s="1"/>
  <c r="AR21" i="8" a="1"/>
  <c r="AR21" i="8" s="1"/>
  <c r="AQ23" i="8" a="1"/>
  <c r="AQ23" i="8" s="1"/>
  <c r="AS29" i="8" a="1"/>
  <c r="AS29" i="8" s="1"/>
  <c r="AU18" i="8" a="1"/>
  <c r="AU18" i="8" s="1"/>
  <c r="AR5" i="8" a="1"/>
  <c r="AR5" i="8" s="1"/>
  <c r="AT3" i="8" a="1"/>
  <c r="AT3" i="8" s="1"/>
  <c r="AS5" i="8" a="1"/>
  <c r="AS5" i="8" s="1"/>
  <c r="AR7" i="8" a="1"/>
  <c r="AR7" i="8" s="1"/>
  <c r="AQ9" i="8" a="1"/>
  <c r="AQ9" i="8" s="1"/>
  <c r="AU29" i="8" a="1"/>
  <c r="AU29" i="8" s="1"/>
  <c r="AT12" i="8" a="1"/>
  <c r="AT12" i="8" s="1"/>
  <c r="AS14" i="8" a="1"/>
  <c r="AS14" i="8" s="1"/>
  <c r="AR16" i="8" a="1"/>
  <c r="AR16" i="8" s="1"/>
  <c r="AQ18" i="8" a="1"/>
  <c r="AQ18" i="8" s="1"/>
  <c r="AU22" i="8" a="1"/>
  <c r="AU22" i="8" s="1"/>
  <c r="AT24" i="8" a="1"/>
  <c r="AT24" i="8" s="1"/>
  <c r="AS26" i="8" a="1"/>
  <c r="AS26" i="8" s="1"/>
  <c r="AU8" i="8" a="1"/>
  <c r="AU8" i="8" s="1"/>
  <c r="AT10" i="8" a="1"/>
  <c r="AT10" i="8" s="1"/>
  <c r="AS27" i="8" a="1"/>
  <c r="AS27" i="8" s="1"/>
  <c r="AR28" i="8" a="1"/>
  <c r="AR28" i="8" s="1"/>
  <c r="AQ13" i="8" a="1"/>
  <c r="AQ13" i="8" s="1"/>
  <c r="AU17" i="8" a="1"/>
  <c r="AU17" i="8" s="1"/>
  <c r="AT19" i="8" a="1"/>
  <c r="AT19" i="8" s="1"/>
  <c r="AS21" i="8" a="1"/>
  <c r="AS21" i="8" s="1"/>
  <c r="AR23" i="8" a="1"/>
  <c r="AR23" i="8" s="1"/>
  <c r="AQ25" i="8" a="1"/>
  <c r="AQ25" i="8" s="1"/>
  <c r="AQ4" i="8" a="1"/>
  <c r="AQ4" i="8" s="1"/>
  <c r="AR9" i="8" a="1"/>
  <c r="AR9" i="8" s="1"/>
  <c r="AQ11" i="8" a="1"/>
  <c r="AQ11" i="8" s="1"/>
  <c r="AU12" i="8" a="1"/>
  <c r="AU12" i="8" s="1"/>
  <c r="AT14" i="8" a="1"/>
  <c r="AT14" i="8" s="1"/>
  <c r="AS16" i="8" a="1"/>
  <c r="AS16" i="8" s="1"/>
  <c r="AR18" i="8" a="1"/>
  <c r="AR18" i="8" s="1"/>
  <c r="AQ20" i="8" a="1"/>
  <c r="AQ20" i="8" s="1"/>
  <c r="AU24" i="8" a="1"/>
  <c r="AU24" i="8" s="1"/>
  <c r="AT26" i="8" a="1"/>
  <c r="AT26" i="8" s="1"/>
  <c r="AU3" i="8" a="1"/>
  <c r="AU3" i="8" s="1"/>
  <c r="AT5" i="8" a="1"/>
  <c r="AT5" i="8" s="1"/>
  <c r="AR4" i="8" a="1"/>
  <c r="AR4" i="8" s="1"/>
  <c r="AQ6" i="8" a="1"/>
  <c r="AQ6" i="8" s="1"/>
  <c r="AU10" i="8" a="1"/>
  <c r="AU10" i="8" s="1"/>
  <c r="AT27" i="8" a="1"/>
  <c r="AT27" i="8" s="1"/>
  <c r="AS28" i="8" a="1"/>
  <c r="AS28" i="8" s="1"/>
  <c r="AR13" i="8" a="1"/>
  <c r="AR13" i="8" s="1"/>
  <c r="AQ15" i="8" a="1"/>
  <c r="AQ15" i="8" s="1"/>
  <c r="AU19" i="8" a="1"/>
  <c r="AU19" i="8" s="1"/>
  <c r="AT21" i="8" a="1"/>
  <c r="AT21" i="8" s="1"/>
  <c r="AS23" i="8" a="1"/>
  <c r="AS23" i="8" s="1"/>
  <c r="AR25" i="8" a="1"/>
  <c r="AR25" i="8" s="1"/>
  <c r="AU5" i="8" a="1"/>
  <c r="AU5" i="8" s="1"/>
  <c r="AR11" i="8" a="1"/>
  <c r="AR11" i="8" s="1"/>
  <c r="AS18" i="8" a="1"/>
  <c r="AS18" i="8" s="1"/>
  <c r="AR20" i="8" a="1"/>
  <c r="AR20" i="8" s="1"/>
  <c r="AQ22" i="8" a="1"/>
  <c r="AQ22" i="8" s="1"/>
  <c r="AU26" i="8" a="1"/>
  <c r="AU26" i="8" s="1"/>
  <c r="AT13" i="8" a="1"/>
  <c r="AT13" i="8" s="1"/>
  <c r="AU14" i="8" a="1"/>
  <c r="AU14" i="8" s="1"/>
  <c r="AS4" i="8" a="1"/>
  <c r="AS4" i="8" s="1"/>
  <c r="AR6" i="8" a="1"/>
  <c r="AR6" i="8" s="1"/>
  <c r="AQ8" i="8" a="1"/>
  <c r="AQ8" i="8" s="1"/>
  <c r="AU27" i="8" a="1"/>
  <c r="AU27" i="8" s="1"/>
  <c r="AT28" i="8" a="1"/>
  <c r="AT28" i="8" s="1"/>
  <c r="AS13" i="8" a="1"/>
  <c r="AS13" i="8" s="1"/>
  <c r="AR15" i="8" a="1"/>
  <c r="AR15" i="8" s="1"/>
  <c r="AQ17" i="8" a="1"/>
  <c r="AQ17" i="8" s="1"/>
  <c r="AU21" i="8" a="1"/>
  <c r="AU21" i="8" s="1"/>
  <c r="AT23" i="8" a="1"/>
  <c r="AT23" i="8" s="1"/>
  <c r="AS25" i="8" a="1"/>
  <c r="AS25" i="8" s="1"/>
  <c r="AU28" i="8" a="1"/>
  <c r="AU28" i="8" s="1"/>
  <c r="AQ3" i="8" a="1"/>
  <c r="AQ3" i="8" s="1"/>
  <c r="AU7" i="8" a="1"/>
  <c r="AU7" i="8" s="1"/>
  <c r="AT9" i="8" a="1"/>
  <c r="AT9" i="8" s="1"/>
  <c r="AS11" i="8" a="1"/>
  <c r="AS11" i="8" s="1"/>
  <c r="AR29" i="8" a="1"/>
  <c r="AR29" i="8" s="1"/>
  <c r="AQ12" i="8" a="1"/>
  <c r="AQ12" i="8" s="1"/>
  <c r="AV10" i="8" l="1" a="1"/>
  <c r="AV10" i="8" s="1"/>
  <c r="AV33" i="8" a="1"/>
  <c r="AV33" i="8" s="1"/>
  <c r="AV39" i="8" a="1"/>
  <c r="AV39" i="8" s="1"/>
  <c r="AV26" i="8" a="1"/>
  <c r="AV26" i="8" s="1"/>
  <c r="AV38" i="8" a="1"/>
  <c r="AV38" i="8" s="1"/>
  <c r="AV35" i="8" a="1"/>
  <c r="AV35" i="8" s="1"/>
  <c r="AV6" i="8" a="1"/>
  <c r="AV6" i="8" s="1"/>
  <c r="AV11" i="8" a="1"/>
  <c r="AV11" i="8" s="1"/>
  <c r="AV15" i="8" a="1"/>
  <c r="AV15" i="8" s="1"/>
  <c r="AV24" i="8" a="1"/>
  <c r="AV24" i="8" s="1"/>
  <c r="AV17" i="8" a="1"/>
  <c r="AV17" i="8" s="1"/>
  <c r="AV56" i="8" a="1"/>
  <c r="AV56" i="8" s="1"/>
  <c r="AV52" i="8" a="1"/>
  <c r="AV52" i="8" s="1"/>
  <c r="AV50" i="8" a="1"/>
  <c r="AV50" i="8" s="1"/>
  <c r="AV23" i="8" a="1"/>
  <c r="AV23" i="8" s="1"/>
  <c r="AV2" i="8" a="1"/>
  <c r="AV2" i="8" s="1"/>
  <c r="AV21" i="8" a="1"/>
  <c r="AV21" i="8" s="1"/>
  <c r="AV4" i="8" a="1"/>
  <c r="AV4" i="8" s="1"/>
  <c r="AV22" i="8" a="1"/>
  <c r="AV22" i="8" s="1"/>
  <c r="AV12" i="8" a="1"/>
  <c r="AV12" i="8" s="1"/>
  <c r="AV57" i="8" a="1"/>
  <c r="AV57" i="8" s="1"/>
  <c r="AV44" i="8" a="1"/>
  <c r="AV44" i="8" s="1"/>
  <c r="AV46" i="8" a="1"/>
  <c r="AV46" i="8" s="1"/>
  <c r="AV16" i="8" a="1"/>
  <c r="AV16" i="8" s="1"/>
  <c r="AV48" i="8" a="1"/>
  <c r="AV48" i="8" s="1"/>
  <c r="AV3" i="8" a="1"/>
  <c r="AV3" i="8" s="1"/>
  <c r="AV42" i="8" a="1"/>
  <c r="AV42" i="8" s="1"/>
  <c r="AV7" i="8" a="1"/>
  <c r="AV7" i="8" s="1"/>
  <c r="AV49" i="8" a="1"/>
  <c r="AV49" i="8" s="1"/>
  <c r="AV8" i="8" a="1"/>
  <c r="AV8" i="8" s="1"/>
  <c r="AV51" i="8" a="1"/>
  <c r="AV51" i="8" s="1"/>
  <c r="AV36" i="8" a="1"/>
  <c r="AV36" i="8" s="1"/>
  <c r="AV18" i="8" a="1"/>
  <c r="AV18" i="8" s="1"/>
  <c r="AV27" i="8" a="1"/>
  <c r="AV27" i="8" s="1"/>
  <c r="AV45" i="8" a="1"/>
  <c r="AV45" i="8" s="1"/>
  <c r="AV30" i="8" a="1"/>
  <c r="AV30" i="8" s="1"/>
  <c r="AV9" i="8" a="1"/>
  <c r="AV9" i="8" s="1"/>
  <c r="AV47" i="8" a="1"/>
  <c r="AV47" i="8" s="1"/>
  <c r="AV28" i="8" a="1"/>
  <c r="AV28" i="8" s="1"/>
  <c r="AV25" i="8" a="1"/>
  <c r="AV25" i="8" s="1"/>
  <c r="AV32" i="8" a="1"/>
  <c r="AV32" i="8" s="1"/>
  <c r="AV14" i="8" a="1"/>
  <c r="AV14" i="8" s="1"/>
  <c r="AV40" i="8" a="1"/>
  <c r="AV40" i="8" s="1"/>
  <c r="AV54" i="8" a="1"/>
  <c r="AV54" i="8" s="1"/>
  <c r="AV13" i="8" a="1"/>
  <c r="AV13" i="8" s="1"/>
  <c r="AV41" i="8" a="1"/>
  <c r="AV41" i="8" s="1"/>
  <c r="AV29" i="8" a="1"/>
  <c r="AV29" i="8" s="1"/>
  <c r="AV20" i="8" a="1"/>
  <c r="AV20" i="8" s="1"/>
  <c r="AV43" i="8" a="1"/>
  <c r="AV43" i="8" s="1"/>
  <c r="AV31" i="8" a="1"/>
  <c r="AV31" i="8" s="1"/>
  <c r="AV19" i="8" a="1"/>
  <c r="AV19" i="8" s="1"/>
  <c r="AV34" i="8" a="1"/>
  <c r="AV34" i="8" s="1"/>
  <c r="AV5" i="8" a="1"/>
  <c r="AV5" i="8" s="1"/>
  <c r="AV37" i="8" a="1"/>
  <c r="AV37" i="8" s="1"/>
  <c r="B50" i="5" l="1"/>
  <c r="B51" i="5"/>
  <c r="B52" i="5"/>
  <c r="B53" i="5"/>
  <c r="B54" i="5"/>
  <c r="B55" i="5"/>
  <c r="B56" i="5"/>
  <c r="B57" i="5"/>
  <c r="B58" i="5"/>
  <c r="B59" i="5"/>
  <c r="B60" i="5"/>
  <c r="B61" i="5"/>
  <c r="D61" i="5" s="1"/>
  <c r="B62" i="5"/>
  <c r="B63" i="5"/>
  <c r="B64" i="5"/>
  <c r="B65" i="5"/>
  <c r="B66" i="5"/>
  <c r="B67" i="5"/>
  <c r="B68" i="5"/>
  <c r="B49" i="5"/>
  <c r="Q20" i="5"/>
  <c r="Q21" i="5"/>
  <c r="Q22" i="5"/>
  <c r="Q23" i="5"/>
  <c r="Q24" i="5"/>
  <c r="G31" i="5"/>
  <c r="B33" i="5"/>
  <c r="D33" i="5" s="1"/>
  <c r="B19" i="5"/>
  <c r="Q19" i="5" s="1"/>
  <c r="K5" i="5"/>
  <c r="K9" i="5"/>
  <c r="K10" i="5"/>
  <c r="K12" i="5"/>
  <c r="K4" i="5"/>
  <c r="W6" i="1"/>
  <c r="W8" i="1"/>
  <c r="W9" i="1"/>
  <c r="W10" i="1"/>
  <c r="W11" i="1"/>
  <c r="W5" i="1"/>
  <c r="S6" i="1"/>
  <c r="S7" i="1"/>
  <c r="S8" i="1"/>
  <c r="S9" i="1"/>
  <c r="S11" i="1"/>
  <c r="S5" i="1"/>
  <c r="P11" i="1"/>
  <c r="P12" i="1"/>
  <c r="Y8" i="1"/>
  <c r="Y9" i="1"/>
  <c r="U6" i="1"/>
  <c r="K8" i="5" l="1"/>
  <c r="D8" i="5"/>
  <c r="K11" i="5"/>
  <c r="D11" i="5"/>
  <c r="Q25" i="5"/>
  <c r="G61" i="5"/>
  <c r="B67" i="6"/>
  <c r="I61" i="5"/>
  <c r="D7" i="5"/>
  <c r="K7" i="5"/>
  <c r="L31" i="5"/>
  <c r="Q31" i="5"/>
  <c r="D6" i="5"/>
  <c r="K6" i="5"/>
  <c r="L33" i="5"/>
  <c r="Q33" i="5"/>
  <c r="D26" i="5"/>
  <c r="I26" i="5" s="1"/>
  <c r="Q26" i="5"/>
  <c r="L32" i="5"/>
  <c r="Q32" i="5"/>
  <c r="E16" i="6" a="1"/>
  <c r="E16" i="6" s="1"/>
  <c r="E17" i="6" a="1"/>
  <c r="E17" i="6" s="1"/>
  <c r="G16" i="6" a="1"/>
  <c r="G16" i="6" s="1"/>
  <c r="T16" i="6" s="1"/>
  <c r="G17" i="6" a="1"/>
  <c r="G17" i="6" s="1"/>
  <c r="F16" i="6" a="1"/>
  <c r="F16" i="6" s="1"/>
  <c r="S16" i="6" s="1"/>
  <c r="F17" i="6" a="1"/>
  <c r="F17" i="6" s="1"/>
  <c r="D16" i="6" a="1"/>
  <c r="D16" i="6" s="1"/>
  <c r="D17" i="6" a="1"/>
  <c r="D17" i="6" s="1"/>
  <c r="J17" i="6" l="1"/>
  <c r="J16" i="6"/>
  <c r="H16" i="6" l="1"/>
  <c r="H17" i="6"/>
  <c r="K17" i="6"/>
  <c r="K16" i="6"/>
  <c r="G24" i="4" l="1"/>
  <c r="I17" i="6"/>
  <c r="I16" i="6"/>
  <c r="P1" i="4" l="1"/>
  <c r="Q1" i="5"/>
  <c r="I45" i="1" l="1"/>
  <c r="R3" i="4" l="1"/>
  <c r="Q3" i="4"/>
  <c r="P3" i="4"/>
  <c r="O3" i="4"/>
  <c r="N3" i="4"/>
  <c r="M3" i="4"/>
  <c r="A4" i="4"/>
  <c r="A3" i="3"/>
  <c r="F34" i="1"/>
  <c r="F39" i="1"/>
  <c r="F38" i="1"/>
  <c r="G9" i="4" l="1"/>
  <c r="H37" i="5"/>
  <c r="G3" i="4"/>
  <c r="L4" i="4"/>
  <c r="M4" i="4"/>
  <c r="N4" i="4"/>
  <c r="O4" i="4"/>
  <c r="P4" i="4"/>
  <c r="Q4" i="4"/>
  <c r="B4" i="4"/>
  <c r="R4" i="4"/>
  <c r="E4" i="4"/>
  <c r="J4" i="4"/>
  <c r="K4" i="4"/>
  <c r="S13" i="5"/>
  <c r="Q13" i="5"/>
  <c r="S45" i="5"/>
  <c r="S44" i="5"/>
  <c r="Q45" i="5"/>
  <c r="Q44" i="5"/>
  <c r="Q15" i="5"/>
  <c r="S15" i="5"/>
  <c r="Q14" i="5"/>
  <c r="S14" i="5"/>
  <c r="D13" i="5"/>
  <c r="B15" i="6" s="1"/>
  <c r="Q8" i="5"/>
  <c r="S58" i="5"/>
  <c r="Q66" i="5"/>
  <c r="Q64" i="5"/>
  <c r="S68" i="5"/>
  <c r="Q51" i="5"/>
  <c r="Q63" i="5"/>
  <c r="S52" i="5"/>
  <c r="S31" i="5"/>
  <c r="Q65" i="5"/>
  <c r="S32" i="5"/>
  <c r="S65" i="5"/>
  <c r="S7" i="5"/>
  <c r="S20" i="5"/>
  <c r="Q5" i="5"/>
  <c r="S10" i="5"/>
  <c r="S57" i="5"/>
  <c r="S59" i="5"/>
  <c r="S8" i="5"/>
  <c r="Q58" i="5"/>
  <c r="S66" i="5"/>
  <c r="S64" i="5"/>
  <c r="Q68" i="5"/>
  <c r="S51" i="5"/>
  <c r="S63" i="5"/>
  <c r="S67" i="5"/>
  <c r="S23" i="5"/>
  <c r="Q4" i="5"/>
  <c r="S60" i="5"/>
  <c r="Q60" i="5"/>
  <c r="S5" i="5"/>
  <c r="Q7" i="5"/>
  <c r="Q55" i="5"/>
  <c r="S56" i="5"/>
  <c r="S49" i="5"/>
  <c r="Q52" i="5"/>
  <c r="S4" i="5"/>
  <c r="S54" i="5"/>
  <c r="S24" i="5"/>
  <c r="S12" i="5"/>
  <c r="S53" i="5"/>
  <c r="S11" i="5"/>
  <c r="S6" i="5"/>
  <c r="Q9" i="5"/>
  <c r="Q56" i="5"/>
  <c r="Q49" i="5"/>
  <c r="Q67" i="5"/>
  <c r="Q12" i="5"/>
  <c r="Q54" i="5"/>
  <c r="S61" i="5"/>
  <c r="Q11" i="5"/>
  <c r="S62" i="5"/>
  <c r="S9" i="5"/>
  <c r="Q6" i="5"/>
  <c r="S26" i="5"/>
  <c r="Q53" i="5"/>
  <c r="S55" i="5"/>
  <c r="S21" i="5"/>
  <c r="Q61" i="5"/>
  <c r="S25" i="5"/>
  <c r="S19" i="5"/>
  <c r="S33" i="5"/>
  <c r="Q10" i="5"/>
  <c r="Q62" i="5"/>
  <c r="S22" i="5"/>
  <c r="S50" i="5"/>
  <c r="Q59" i="5"/>
  <c r="Q50" i="5"/>
  <c r="Q57" i="5"/>
  <c r="K17" i="1"/>
  <c r="K5" i="1"/>
  <c r="D14" i="5"/>
  <c r="D15" i="5"/>
  <c r="G11" i="5"/>
  <c r="H11" i="5" s="1"/>
  <c r="D20" i="5"/>
  <c r="B23" i="6" s="1"/>
  <c r="B28" i="6"/>
  <c r="D5" i="5"/>
  <c r="B7" i="6" s="1"/>
  <c r="B27" i="6"/>
  <c r="D12" i="5"/>
  <c r="B14" i="6" s="1"/>
  <c r="D22" i="5"/>
  <c r="B25" i="6" s="1"/>
  <c r="B35" i="6"/>
  <c r="B31" i="6"/>
  <c r="B24" i="6"/>
  <c r="D23" i="5"/>
  <c r="B26" i="6" s="1"/>
  <c r="D10" i="5"/>
  <c r="B33" i="6"/>
  <c r="D9" i="5"/>
  <c r="B8" i="6"/>
  <c r="B29" i="6"/>
  <c r="B9" i="6"/>
  <c r="M45" i="5"/>
  <c r="P45" i="5"/>
  <c r="N45" i="5"/>
  <c r="R45" i="5"/>
  <c r="F45" i="5"/>
  <c r="C45" i="5"/>
  <c r="K45" i="5"/>
  <c r="D45" i="5"/>
  <c r="E45" i="5"/>
  <c r="O45" i="5"/>
  <c r="L45" i="5"/>
  <c r="A39" i="6"/>
  <c r="C38" i="6"/>
  <c r="A38" i="6"/>
  <c r="E14" i="5"/>
  <c r="F15" i="5"/>
  <c r="F14" i="5"/>
  <c r="L15" i="5"/>
  <c r="M14" i="5"/>
  <c r="M15" i="5"/>
  <c r="N14" i="5"/>
  <c r="C37" i="6"/>
  <c r="N15" i="5"/>
  <c r="O14" i="5"/>
  <c r="C15" i="5"/>
  <c r="R15" i="5"/>
  <c r="E15" i="5"/>
  <c r="O15" i="5"/>
  <c r="P14" i="5"/>
  <c r="P15" i="5"/>
  <c r="R14" i="5"/>
  <c r="C14" i="5"/>
  <c r="N13" i="5"/>
  <c r="L13" i="5"/>
  <c r="N12" i="5"/>
  <c r="C11" i="5"/>
  <c r="A13" i="6" s="1"/>
  <c r="E10" i="5"/>
  <c r="C12" i="6" s="1"/>
  <c r="O26" i="5"/>
  <c r="C8" i="5"/>
  <c r="A10" i="6" s="1"/>
  <c r="C7" i="5"/>
  <c r="A9" i="6" s="1"/>
  <c r="M25" i="5"/>
  <c r="L25" i="5"/>
  <c r="E22" i="5"/>
  <c r="C25" i="6" s="1"/>
  <c r="D25" i="6" s="1" a="1"/>
  <c r="D25" i="6" s="1"/>
  <c r="R33" i="5"/>
  <c r="P9" i="5"/>
  <c r="E32" i="5"/>
  <c r="C35" i="6" s="1"/>
  <c r="R20" i="5"/>
  <c r="F32" i="5"/>
  <c r="M6" i="5"/>
  <c r="N20" i="5"/>
  <c r="P21" i="5"/>
  <c r="O8" i="5"/>
  <c r="E21" i="5"/>
  <c r="C24" i="6" s="1"/>
  <c r="D24" i="6" s="1" a="1"/>
  <c r="D24" i="6" s="1"/>
  <c r="O13" i="5"/>
  <c r="C12" i="5"/>
  <c r="A14" i="6" s="1"/>
  <c r="O12" i="5"/>
  <c r="R11" i="5"/>
  <c r="R10" i="5"/>
  <c r="P26" i="5"/>
  <c r="N25" i="5"/>
  <c r="C33" i="6"/>
  <c r="E24" i="5"/>
  <c r="C27" i="6" s="1"/>
  <c r="D27" i="6" s="1" a="1"/>
  <c r="D27" i="6" s="1"/>
  <c r="E23" i="5"/>
  <c r="C26" i="6" s="1"/>
  <c r="D26" i="6" s="1" a="1"/>
  <c r="D26" i="6" s="1"/>
  <c r="F22" i="5"/>
  <c r="E33" i="5"/>
  <c r="C36" i="6" s="1"/>
  <c r="F21" i="5"/>
  <c r="F6" i="5"/>
  <c r="E20" i="5"/>
  <c r="C23" i="6" s="1"/>
  <c r="D23" i="6" s="1" a="1"/>
  <c r="D23" i="6" s="1"/>
  <c r="O20" i="5"/>
  <c r="E13" i="5"/>
  <c r="C15" i="6" s="1"/>
  <c r="F31" i="5"/>
  <c r="N21" i="5"/>
  <c r="E25" i="5"/>
  <c r="C28" i="6" s="1"/>
  <c r="P11" i="5"/>
  <c r="N8" i="5"/>
  <c r="R7" i="5"/>
  <c r="P13" i="5"/>
  <c r="E11" i="5"/>
  <c r="C13" i="6" s="1"/>
  <c r="F10" i="5"/>
  <c r="C26" i="5"/>
  <c r="A29" i="6" s="1"/>
  <c r="A43" i="6"/>
  <c r="O25" i="5"/>
  <c r="K31" i="5"/>
  <c r="E31" i="5"/>
  <c r="C34" i="6" s="1"/>
  <c r="F24" i="5"/>
  <c r="R5" i="5"/>
  <c r="N23" i="5"/>
  <c r="K22" i="5"/>
  <c r="K21" i="5"/>
  <c r="R9" i="5"/>
  <c r="N32" i="5"/>
  <c r="M33" i="5"/>
  <c r="P10" i="5"/>
  <c r="N7" i="5"/>
  <c r="C22" i="5"/>
  <c r="A25" i="6" s="1"/>
  <c r="F13" i="5"/>
  <c r="M26" i="5"/>
  <c r="L9" i="5"/>
  <c r="P8" i="5"/>
  <c r="M24" i="5"/>
  <c r="R6" i="5"/>
  <c r="C13" i="5"/>
  <c r="A15" i="6" s="1"/>
  <c r="F11" i="5"/>
  <c r="C44" i="6"/>
  <c r="R8" i="5"/>
  <c r="E7" i="5"/>
  <c r="C9" i="6" s="1"/>
  <c r="P25" i="5"/>
  <c r="K24" i="5"/>
  <c r="E5" i="5"/>
  <c r="C7" i="6" s="1"/>
  <c r="L22" i="5"/>
  <c r="F33" i="5"/>
  <c r="C9" i="5"/>
  <c r="A11" i="6" s="1"/>
  <c r="L6" i="5"/>
  <c r="K32" i="5"/>
  <c r="F20" i="5"/>
  <c r="O33" i="5"/>
  <c r="L20" i="5"/>
  <c r="M20" i="5"/>
  <c r="M9" i="5"/>
  <c r="N9" i="5"/>
  <c r="N26" i="5"/>
  <c r="E6" i="5"/>
  <c r="C8" i="6" s="1"/>
  <c r="R12" i="5"/>
  <c r="L10" i="5"/>
  <c r="A31" i="6"/>
  <c r="E8" i="5"/>
  <c r="C10" i="6" s="1"/>
  <c r="F7" i="5"/>
  <c r="M31" i="5"/>
  <c r="N24" i="5"/>
  <c r="L24" i="5"/>
  <c r="K23" i="5"/>
  <c r="M22" i="5"/>
  <c r="L21" i="5"/>
  <c r="F12" i="5"/>
  <c r="C30" i="6"/>
  <c r="M5" i="5"/>
  <c r="O6" i="5"/>
  <c r="L26" i="5"/>
  <c r="C33" i="5"/>
  <c r="A36" i="6" s="1"/>
  <c r="P12" i="5"/>
  <c r="P5" i="5"/>
  <c r="C32" i="5"/>
  <c r="A35" i="6" s="1"/>
  <c r="K25" i="5"/>
  <c r="E12" i="5"/>
  <c r="C14" i="6" s="1"/>
  <c r="L11" i="5"/>
  <c r="M10" i="5"/>
  <c r="R26" i="5"/>
  <c r="R25" i="5"/>
  <c r="A32" i="6"/>
  <c r="N31" i="5"/>
  <c r="O24" i="5"/>
  <c r="F5" i="5"/>
  <c r="L23" i="5"/>
  <c r="N22" i="5"/>
  <c r="K33" i="5"/>
  <c r="C21" i="5"/>
  <c r="A24" i="6" s="1"/>
  <c r="N6" i="5"/>
  <c r="M32" i="5"/>
  <c r="K20" i="5"/>
  <c r="E9" i="5"/>
  <c r="C11" i="6" s="1"/>
  <c r="O10" i="5"/>
  <c r="L7" i="5"/>
  <c r="O22" i="5"/>
  <c r="O11" i="5"/>
  <c r="M8" i="5"/>
  <c r="C23" i="5"/>
  <c r="A26" i="6" s="1"/>
  <c r="C20" i="5"/>
  <c r="A23" i="6" s="1"/>
  <c r="C31" i="5"/>
  <c r="A34" i="6" s="1"/>
  <c r="M12" i="5"/>
  <c r="C5" i="5"/>
  <c r="A7" i="6" s="1"/>
  <c r="R13" i="5"/>
  <c r="M11" i="5"/>
  <c r="N10" i="5"/>
  <c r="C45" i="6"/>
  <c r="A30" i="6"/>
  <c r="E26" i="5"/>
  <c r="C29" i="6" s="1"/>
  <c r="C43" i="6"/>
  <c r="F8" i="5"/>
  <c r="C25" i="5"/>
  <c r="A28" i="6" s="1"/>
  <c r="O31" i="5"/>
  <c r="P24" i="5"/>
  <c r="L5" i="5"/>
  <c r="O23" i="5"/>
  <c r="M23" i="5"/>
  <c r="P22" i="5"/>
  <c r="M21" i="5"/>
  <c r="N11" i="5"/>
  <c r="P23" i="5"/>
  <c r="R32" i="5"/>
  <c r="C24" i="5"/>
  <c r="A27" i="6" s="1"/>
  <c r="C6" i="5"/>
  <c r="A8" i="6" s="1"/>
  <c r="F25" i="5"/>
  <c r="R21" i="5"/>
  <c r="P7" i="5"/>
  <c r="C10" i="5"/>
  <c r="A12" i="6" s="1"/>
  <c r="C31" i="6"/>
  <c r="K26" i="5"/>
  <c r="F26" i="5"/>
  <c r="L8" i="5"/>
  <c r="M7" i="5"/>
  <c r="C32" i="6"/>
  <c r="P31" i="5"/>
  <c r="A33" i="6"/>
  <c r="R24" i="5"/>
  <c r="N5" i="5"/>
  <c r="R22" i="5"/>
  <c r="P33" i="5"/>
  <c r="N33" i="5"/>
  <c r="O21" i="5"/>
  <c r="F9" i="5"/>
  <c r="P6" i="5"/>
  <c r="O32" i="5"/>
  <c r="P20" i="5"/>
  <c r="M13" i="5"/>
  <c r="L12" i="5"/>
  <c r="O5" i="5"/>
  <c r="P32" i="5"/>
  <c r="O7" i="5"/>
  <c r="R23" i="5"/>
  <c r="R31" i="5"/>
  <c r="O9" i="5"/>
  <c r="A4" i="3"/>
  <c r="B38" i="6"/>
  <c r="B37" i="6"/>
  <c r="B42" i="6"/>
  <c r="D19" i="5"/>
  <c r="B22" i="6" s="1"/>
  <c r="B39" i="6"/>
  <c r="C39" i="6"/>
  <c r="A37" i="6"/>
  <c r="C68" i="5"/>
  <c r="A74" i="6" s="1"/>
  <c r="L68" i="5"/>
  <c r="P68" i="5"/>
  <c r="M68" i="5"/>
  <c r="D68" i="5"/>
  <c r="B74" i="6" s="1"/>
  <c r="E68" i="5"/>
  <c r="C74" i="6" s="1"/>
  <c r="N68" i="5"/>
  <c r="R68" i="5"/>
  <c r="F68" i="5"/>
  <c r="K68" i="5"/>
  <c r="O68" i="5"/>
  <c r="M57" i="5"/>
  <c r="M19" i="5"/>
  <c r="M51" i="5"/>
  <c r="M54" i="5"/>
  <c r="M66" i="5"/>
  <c r="M58" i="5"/>
  <c r="M49" i="5"/>
  <c r="M59" i="5"/>
  <c r="M4" i="5"/>
  <c r="M67" i="5"/>
  <c r="M60" i="5"/>
  <c r="M61" i="5"/>
  <c r="M64" i="5"/>
  <c r="M65" i="5"/>
  <c r="M56" i="5"/>
  <c r="M44" i="5"/>
  <c r="M50" i="5"/>
  <c r="M62" i="5"/>
  <c r="M63" i="5"/>
  <c r="M55" i="5"/>
  <c r="M52" i="5"/>
  <c r="M53" i="5"/>
  <c r="R44" i="5"/>
  <c r="P44" i="5"/>
  <c r="O44" i="5"/>
  <c r="N44" i="5"/>
  <c r="L44" i="5"/>
  <c r="K44" i="5"/>
  <c r="F44" i="5"/>
  <c r="E44" i="5"/>
  <c r="C44" i="5"/>
  <c r="N62" i="5"/>
  <c r="N50" i="5"/>
  <c r="E63" i="5"/>
  <c r="C69" i="6" s="1"/>
  <c r="K52" i="5"/>
  <c r="K61" i="5"/>
  <c r="D52" i="5"/>
  <c r="E55" i="5"/>
  <c r="C61" i="6" s="1"/>
  <c r="F66" i="5"/>
  <c r="F58" i="5"/>
  <c r="F50" i="5"/>
  <c r="L61" i="5"/>
  <c r="L53" i="5"/>
  <c r="N64" i="5"/>
  <c r="N56" i="5"/>
  <c r="K60" i="5"/>
  <c r="C64" i="5"/>
  <c r="A70" i="6" s="1"/>
  <c r="C56" i="5"/>
  <c r="A62" i="6" s="1"/>
  <c r="D67" i="5"/>
  <c r="B73" i="6" s="1"/>
  <c r="D59" i="5"/>
  <c r="D51" i="5"/>
  <c r="E62" i="5"/>
  <c r="C68" i="6" s="1"/>
  <c r="E54" i="5"/>
  <c r="C60" i="6" s="1"/>
  <c r="F65" i="5"/>
  <c r="F57" i="5"/>
  <c r="F49" i="5"/>
  <c r="L60" i="5"/>
  <c r="L52" i="5"/>
  <c r="N63" i="5"/>
  <c r="N55" i="5"/>
  <c r="C49" i="5"/>
  <c r="A55" i="6" s="1"/>
  <c r="K49" i="5"/>
  <c r="C63" i="5"/>
  <c r="A69" i="6" s="1"/>
  <c r="L67" i="5"/>
  <c r="K66" i="5"/>
  <c r="C62" i="5"/>
  <c r="A68" i="6" s="1"/>
  <c r="C54" i="5"/>
  <c r="A60" i="6" s="1"/>
  <c r="D65" i="5"/>
  <c r="D57" i="5"/>
  <c r="D49" i="5"/>
  <c r="E60" i="5"/>
  <c r="C66" i="6" s="1"/>
  <c r="E52" i="5"/>
  <c r="C58" i="6" s="1"/>
  <c r="F63" i="5"/>
  <c r="F55" i="5"/>
  <c r="L66" i="5"/>
  <c r="L58" i="5"/>
  <c r="L50" i="5"/>
  <c r="N61" i="5"/>
  <c r="N53" i="5"/>
  <c r="D60" i="5"/>
  <c r="B66" i="6" s="1"/>
  <c r="K53" i="5"/>
  <c r="D58" i="5"/>
  <c r="E53" i="5"/>
  <c r="C59" i="6" s="1"/>
  <c r="F56" i="5"/>
  <c r="L59" i="5"/>
  <c r="K50" i="5"/>
  <c r="K54" i="5"/>
  <c r="K59" i="5"/>
  <c r="K65" i="5"/>
  <c r="C61" i="5"/>
  <c r="A67" i="6" s="1"/>
  <c r="C53" i="5"/>
  <c r="A59" i="6" s="1"/>
  <c r="D64" i="5"/>
  <c r="D56" i="5"/>
  <c r="E67" i="5"/>
  <c r="C73" i="6" s="1"/>
  <c r="E59" i="5"/>
  <c r="C65" i="6" s="1"/>
  <c r="E51" i="5"/>
  <c r="C57" i="6" s="1"/>
  <c r="F62" i="5"/>
  <c r="F54" i="5"/>
  <c r="L65" i="5"/>
  <c r="L57" i="5"/>
  <c r="L49" i="5"/>
  <c r="N60" i="5"/>
  <c r="N52" i="5"/>
  <c r="K57" i="5"/>
  <c r="C57" i="5"/>
  <c r="A63" i="6" s="1"/>
  <c r="K58" i="5"/>
  <c r="C55" i="5"/>
  <c r="A61" i="6" s="1"/>
  <c r="D50" i="5"/>
  <c r="N54" i="5"/>
  <c r="K64" i="5"/>
  <c r="C60" i="5"/>
  <c r="A66" i="6" s="1"/>
  <c r="C52" i="5"/>
  <c r="A58" i="6" s="1"/>
  <c r="D63" i="5"/>
  <c r="B69" i="6" s="1"/>
  <c r="D55" i="5"/>
  <c r="E66" i="5"/>
  <c r="C72" i="6" s="1"/>
  <c r="E58" i="5"/>
  <c r="C64" i="6" s="1"/>
  <c r="E50" i="5"/>
  <c r="C56" i="6" s="1"/>
  <c r="F61" i="5"/>
  <c r="F53" i="5"/>
  <c r="L64" i="5"/>
  <c r="L56" i="5"/>
  <c r="N67" i="5"/>
  <c r="N59" i="5"/>
  <c r="N51" i="5"/>
  <c r="C65" i="5"/>
  <c r="A71" i="6" s="1"/>
  <c r="D66" i="5"/>
  <c r="B72" i="6" s="1"/>
  <c r="F64" i="5"/>
  <c r="L51" i="5"/>
  <c r="K51" i="5"/>
  <c r="K55" i="5"/>
  <c r="K63" i="5"/>
  <c r="C67" i="5"/>
  <c r="A73" i="6" s="1"/>
  <c r="C59" i="5"/>
  <c r="A65" i="6" s="1"/>
  <c r="C51" i="5"/>
  <c r="A57" i="6" s="1"/>
  <c r="D62" i="5"/>
  <c r="D54" i="5"/>
  <c r="E65" i="5"/>
  <c r="C71" i="6" s="1"/>
  <c r="E57" i="5"/>
  <c r="C63" i="6" s="1"/>
  <c r="E49" i="5"/>
  <c r="C55" i="6" s="1"/>
  <c r="F60" i="5"/>
  <c r="F52" i="5"/>
  <c r="L63" i="5"/>
  <c r="L55" i="5"/>
  <c r="N66" i="5"/>
  <c r="N58" i="5"/>
  <c r="K67" i="5"/>
  <c r="E61" i="5"/>
  <c r="C67" i="6" s="1"/>
  <c r="F4" i="5"/>
  <c r="R50" i="5"/>
  <c r="R58" i="5"/>
  <c r="R66" i="5"/>
  <c r="P52" i="5"/>
  <c r="P60" i="5"/>
  <c r="O49" i="5"/>
  <c r="O57" i="5"/>
  <c r="O65" i="5"/>
  <c r="O62" i="5"/>
  <c r="C19" i="5"/>
  <c r="A22" i="6" s="1"/>
  <c r="N19" i="5"/>
  <c r="O4" i="5"/>
  <c r="R51" i="5"/>
  <c r="R59" i="5"/>
  <c r="R67" i="5"/>
  <c r="P53" i="5"/>
  <c r="P61" i="5"/>
  <c r="O50" i="5"/>
  <c r="O58" i="5"/>
  <c r="O66" i="5"/>
  <c r="R55" i="5"/>
  <c r="P57" i="5"/>
  <c r="R49" i="5"/>
  <c r="P59" i="5"/>
  <c r="A42" i="6"/>
  <c r="C42" i="6"/>
  <c r="F19" i="5"/>
  <c r="R4" i="5"/>
  <c r="R52" i="5"/>
  <c r="R60" i="5"/>
  <c r="P54" i="5"/>
  <c r="P62" i="5"/>
  <c r="O51" i="5"/>
  <c r="O59" i="5"/>
  <c r="O67" i="5"/>
  <c r="R63" i="5"/>
  <c r="P65" i="5"/>
  <c r="E19" i="5"/>
  <c r="C22" i="6" s="1"/>
  <c r="F22" i="6" s="1" a="1"/>
  <c r="F22" i="6" s="1"/>
  <c r="P19" i="5"/>
  <c r="C4" i="5"/>
  <c r="A6" i="6" s="1"/>
  <c r="R65" i="5"/>
  <c r="P51" i="5"/>
  <c r="O56" i="5"/>
  <c r="K19" i="5"/>
  <c r="L4" i="5"/>
  <c r="R53" i="5"/>
  <c r="R61" i="5"/>
  <c r="P55" i="5"/>
  <c r="P63" i="5"/>
  <c r="O52" i="5"/>
  <c r="O60" i="5"/>
  <c r="P49" i="5"/>
  <c r="O19" i="5"/>
  <c r="P4" i="5"/>
  <c r="R54" i="5"/>
  <c r="R62" i="5"/>
  <c r="P56" i="5"/>
  <c r="P64" i="5"/>
  <c r="O53" i="5"/>
  <c r="O61" i="5"/>
  <c r="R19" i="5"/>
  <c r="E4" i="5"/>
  <c r="C6" i="6" s="1"/>
  <c r="O54" i="5"/>
  <c r="O64" i="5"/>
  <c r="L19" i="5"/>
  <c r="N4" i="5"/>
  <c r="R56" i="5"/>
  <c r="R64" i="5"/>
  <c r="P50" i="5"/>
  <c r="P58" i="5"/>
  <c r="P66" i="5"/>
  <c r="O55" i="5"/>
  <c r="O63" i="5"/>
  <c r="R57" i="5"/>
  <c r="P67" i="5"/>
  <c r="K56" i="5"/>
  <c r="K62" i="5"/>
  <c r="C66" i="5"/>
  <c r="A72" i="6" s="1"/>
  <c r="C58" i="5"/>
  <c r="A64" i="6" s="1"/>
  <c r="C50" i="5"/>
  <c r="A56" i="6" s="1"/>
  <c r="D53" i="5"/>
  <c r="E64" i="5"/>
  <c r="C70" i="6" s="1"/>
  <c r="E56" i="5"/>
  <c r="C62" i="6" s="1"/>
  <c r="F67" i="5"/>
  <c r="F59" i="5"/>
  <c r="F51" i="5"/>
  <c r="L62" i="5"/>
  <c r="L54" i="5"/>
  <c r="N65" i="5"/>
  <c r="N57" i="5"/>
  <c r="N49" i="5"/>
  <c r="A5" i="4"/>
  <c r="B34" i="6" l="1"/>
  <c r="H31" i="5"/>
  <c r="I31" i="5"/>
  <c r="J31" i="5" s="1"/>
  <c r="B30" i="6"/>
  <c r="B12" i="6"/>
  <c r="G10" i="5"/>
  <c r="H10" i="5" s="1"/>
  <c r="B11" i="6"/>
  <c r="G9" i="5"/>
  <c r="H9" i="5" s="1"/>
  <c r="B10" i="6"/>
  <c r="G8" i="5"/>
  <c r="H8" i="5" s="1"/>
  <c r="R6" i="4"/>
  <c r="Q6" i="4"/>
  <c r="O6" i="4"/>
  <c r="B6" i="4"/>
  <c r="R5" i="4"/>
  <c r="P5" i="4"/>
  <c r="B5" i="4"/>
  <c r="L6" i="4"/>
  <c r="E5" i="4"/>
  <c r="M5" i="4"/>
  <c r="F4" i="4"/>
  <c r="G4" i="4" s="1"/>
  <c r="H4" i="4"/>
  <c r="I4" i="4" s="1"/>
  <c r="J6" i="4"/>
  <c r="K5" i="4"/>
  <c r="E6" i="4"/>
  <c r="P6" i="4"/>
  <c r="J5" i="4"/>
  <c r="Q5" i="4"/>
  <c r="M6" i="4"/>
  <c r="K6" i="4"/>
  <c r="N6" i="4"/>
  <c r="N5" i="4"/>
  <c r="L5" i="4"/>
  <c r="O5" i="4"/>
  <c r="C49" i="6" a="1"/>
  <c r="C49" i="6" s="1"/>
  <c r="M49" i="6" s="1"/>
  <c r="G23" i="5"/>
  <c r="H23" i="5" s="1"/>
  <c r="I23" i="5"/>
  <c r="J23" i="5" s="1"/>
  <c r="I10" i="5"/>
  <c r="J10" i="5" s="1"/>
  <c r="I32" i="5"/>
  <c r="J32" i="5" s="1"/>
  <c r="G45" i="5"/>
  <c r="H45" i="5" s="1"/>
  <c r="I45" i="5"/>
  <c r="J45" i="5" s="1"/>
  <c r="G14" i="5"/>
  <c r="H14" i="5" s="1"/>
  <c r="I14" i="5"/>
  <c r="J14" i="5" s="1"/>
  <c r="G21" i="5"/>
  <c r="H21" i="5" s="1"/>
  <c r="I21" i="5"/>
  <c r="J21" i="5" s="1"/>
  <c r="I9" i="5"/>
  <c r="J9" i="5" s="1"/>
  <c r="G13" i="5"/>
  <c r="H13" i="5" s="1"/>
  <c r="I13" i="5"/>
  <c r="J13" i="5" s="1"/>
  <c r="G33" i="5"/>
  <c r="H33" i="5" s="1"/>
  <c r="I33" i="5"/>
  <c r="J33" i="5" s="1"/>
  <c r="G25" i="5"/>
  <c r="H25" i="5" s="1"/>
  <c r="I25" i="5"/>
  <c r="J25" i="5" s="1"/>
  <c r="I11" i="5"/>
  <c r="J11" i="5" s="1"/>
  <c r="I22" i="5"/>
  <c r="J22" i="5" s="1"/>
  <c r="G22" i="5"/>
  <c r="H22" i="5" s="1"/>
  <c r="B36" i="6"/>
  <c r="J26" i="5"/>
  <c r="G26" i="5"/>
  <c r="H26" i="5" s="1"/>
  <c r="G6" i="5"/>
  <c r="H6" i="5" s="1"/>
  <c r="I6" i="5"/>
  <c r="J6" i="5" s="1"/>
  <c r="G12" i="5"/>
  <c r="H12" i="5" s="1"/>
  <c r="I12" i="5"/>
  <c r="J12" i="5" s="1"/>
  <c r="I7" i="5"/>
  <c r="J7" i="5" s="1"/>
  <c r="G7" i="5"/>
  <c r="H7" i="5" s="1"/>
  <c r="G24" i="5"/>
  <c r="H24" i="5" s="1"/>
  <c r="I24" i="5"/>
  <c r="J24" i="5" s="1"/>
  <c r="I8" i="5"/>
  <c r="J8" i="5" s="1"/>
  <c r="G20" i="5"/>
  <c r="H20" i="5" s="1"/>
  <c r="I20" i="5"/>
  <c r="J20" i="5" s="1"/>
  <c r="I5" i="5"/>
  <c r="J5" i="5" s="1"/>
  <c r="G5" i="5"/>
  <c r="H5" i="5" s="1"/>
  <c r="I15" i="5"/>
  <c r="J15" i="5" s="1"/>
  <c r="G15" i="5"/>
  <c r="H15" i="5" s="1"/>
  <c r="A49" i="6" a="1"/>
  <c r="A49" i="6" s="1"/>
  <c r="B32" i="6"/>
  <c r="B49" i="6" a="1"/>
  <c r="B49" i="6" s="1"/>
  <c r="A5" i="3"/>
  <c r="D39" i="6" a="1"/>
  <c r="D39" i="6" s="1"/>
  <c r="H39" i="6" s="1"/>
  <c r="E39" i="6" a="1"/>
  <c r="E39" i="6" s="1"/>
  <c r="G39" i="6" a="1"/>
  <c r="G39" i="6" s="1"/>
  <c r="F39" i="6" a="1"/>
  <c r="F39" i="6" s="1"/>
  <c r="L39" i="6"/>
  <c r="M39" i="6"/>
  <c r="N39" i="6"/>
  <c r="Y38" i="6"/>
  <c r="X38" i="6"/>
  <c r="E24" i="6" a="1"/>
  <c r="E24" i="6" s="1"/>
  <c r="L24" i="6"/>
  <c r="N24" i="6"/>
  <c r="G24" i="6" a="1"/>
  <c r="G24" i="6" s="1"/>
  <c r="M24" i="6"/>
  <c r="F24" i="6" a="1"/>
  <c r="F24" i="6" s="1"/>
  <c r="M23" i="6"/>
  <c r="H23" i="6"/>
  <c r="E23" i="6" a="1"/>
  <c r="E23" i="6" s="1"/>
  <c r="F23" i="6" a="1"/>
  <c r="F23" i="6" s="1"/>
  <c r="S23" i="6" s="1"/>
  <c r="G23" i="6" a="1"/>
  <c r="G23" i="6" s="1"/>
  <c r="L23" i="6"/>
  <c r="N23" i="6"/>
  <c r="N36" i="6"/>
  <c r="D36" i="6" a="1"/>
  <c r="D36" i="6" s="1"/>
  <c r="H36" i="6" s="1"/>
  <c r="G36" i="6" a="1"/>
  <c r="G36" i="6" s="1"/>
  <c r="F36" i="6" a="1"/>
  <c r="F36" i="6" s="1"/>
  <c r="S36" i="6" s="1"/>
  <c r="M36" i="6"/>
  <c r="L36" i="6"/>
  <c r="E36" i="6" a="1"/>
  <c r="E36" i="6" s="1"/>
  <c r="G27" i="6" a="1"/>
  <c r="G27" i="6" s="1"/>
  <c r="H27" i="6"/>
  <c r="N27" i="6"/>
  <c r="E27" i="6" a="1"/>
  <c r="E27" i="6" s="1"/>
  <c r="F27" i="6" a="1"/>
  <c r="F27" i="6" s="1"/>
  <c r="S27" i="6" s="1"/>
  <c r="L27" i="6"/>
  <c r="M27" i="6"/>
  <c r="D37" i="6" a="1"/>
  <c r="D37" i="6" s="1"/>
  <c r="H37" i="6" s="1"/>
  <c r="E37" i="6" a="1"/>
  <c r="E37" i="6" s="1"/>
  <c r="L37" i="6"/>
  <c r="N37" i="6"/>
  <c r="F37" i="6" a="1"/>
  <c r="F37" i="6" s="1"/>
  <c r="M37" i="6"/>
  <c r="G37" i="6" a="1"/>
  <c r="G37" i="6" s="1"/>
  <c r="T37" i="6" s="1"/>
  <c r="M26" i="6"/>
  <c r="H26" i="6"/>
  <c r="L26" i="6"/>
  <c r="F26" i="6" a="1"/>
  <c r="F26" i="6" s="1"/>
  <c r="S26" i="6" s="1"/>
  <c r="E26" i="6" a="1"/>
  <c r="E26" i="6" s="1"/>
  <c r="G26" i="6" a="1"/>
  <c r="G26" i="6" s="1"/>
  <c r="N26" i="6"/>
  <c r="E31" i="6" a="1"/>
  <c r="E31" i="6" s="1"/>
  <c r="F31" i="6" a="1"/>
  <c r="F31" i="6" s="1"/>
  <c r="D31" i="6" a="1"/>
  <c r="D31" i="6" s="1"/>
  <c r="H31" i="6" s="1"/>
  <c r="G31" i="6" a="1"/>
  <c r="G31" i="6" s="1"/>
  <c r="L31" i="6"/>
  <c r="M31" i="6"/>
  <c r="N31" i="6"/>
  <c r="M25" i="6"/>
  <c r="G25" i="6" a="1"/>
  <c r="G25" i="6" s="1"/>
  <c r="L25" i="6"/>
  <c r="N25" i="6"/>
  <c r="H25" i="6"/>
  <c r="E25" i="6" a="1"/>
  <c r="E25" i="6" s="1"/>
  <c r="F25" i="6" a="1"/>
  <c r="F25" i="6" s="1"/>
  <c r="S25" i="6" s="1"/>
  <c r="F35" i="6" a="1"/>
  <c r="F35" i="6" s="1"/>
  <c r="S35" i="6" s="1"/>
  <c r="D35" i="6" a="1"/>
  <c r="D35" i="6" s="1"/>
  <c r="H35" i="6" s="1"/>
  <c r="E35" i="6" a="1"/>
  <c r="E35" i="6" s="1"/>
  <c r="M35" i="6"/>
  <c r="N35" i="6"/>
  <c r="G35" i="6" a="1"/>
  <c r="G35" i="6" s="1"/>
  <c r="L35" i="6"/>
  <c r="D33" i="6" a="1"/>
  <c r="D33" i="6" s="1"/>
  <c r="H33" i="6" s="1"/>
  <c r="H24" i="6" s="1"/>
  <c r="G33" i="6" a="1"/>
  <c r="G33" i="6" s="1"/>
  <c r="L33" i="6"/>
  <c r="E33" i="6" a="1"/>
  <c r="E33" i="6" s="1"/>
  <c r="N33" i="6"/>
  <c r="F33" i="6" a="1"/>
  <c r="F33" i="6" s="1"/>
  <c r="S33" i="6" s="1"/>
  <c r="M33" i="6"/>
  <c r="M38" i="6"/>
  <c r="L38" i="6"/>
  <c r="D38" i="6" a="1"/>
  <c r="D38" i="6" s="1"/>
  <c r="H38" i="6" s="1"/>
  <c r="G38" i="6" a="1"/>
  <c r="G38" i="6" s="1"/>
  <c r="T38" i="6" s="1"/>
  <c r="F38" i="6" a="1"/>
  <c r="F38" i="6" s="1"/>
  <c r="N38" i="6"/>
  <c r="E38" i="6" a="1"/>
  <c r="E38" i="6" s="1"/>
  <c r="E32" i="6" a="1"/>
  <c r="E32" i="6" s="1"/>
  <c r="G32" i="6" a="1"/>
  <c r="G32" i="6" s="1"/>
  <c r="L32" i="6"/>
  <c r="M32" i="6"/>
  <c r="D32" i="6" a="1"/>
  <c r="D32" i="6" s="1"/>
  <c r="H32" i="6" s="1"/>
  <c r="F32" i="6" a="1"/>
  <c r="F32" i="6" s="1"/>
  <c r="S32" i="6" s="1"/>
  <c r="N32" i="6"/>
  <c r="F30" i="6" a="1"/>
  <c r="F30" i="6" s="1"/>
  <c r="S30" i="6" s="1"/>
  <c r="N30" i="6"/>
  <c r="D30" i="6" a="1"/>
  <c r="D30" i="6" s="1"/>
  <c r="H30" i="6" s="1"/>
  <c r="L30" i="6"/>
  <c r="M30" i="6"/>
  <c r="E30" i="6" a="1"/>
  <c r="E30" i="6" s="1"/>
  <c r="G30" i="6" a="1"/>
  <c r="G30" i="6" s="1"/>
  <c r="L29" i="6"/>
  <c r="M29" i="6"/>
  <c r="N29" i="6"/>
  <c r="G29" i="6" a="1"/>
  <c r="G29" i="6" s="1"/>
  <c r="D29" i="6" a="1"/>
  <c r="D29" i="6" s="1"/>
  <c r="H29" i="6" s="1"/>
  <c r="E29" i="6" a="1"/>
  <c r="E29" i="6" s="1"/>
  <c r="F29" i="6" a="1"/>
  <c r="F29" i="6" s="1"/>
  <c r="S29" i="6" s="1"/>
  <c r="F34" i="6" a="1"/>
  <c r="F34" i="6" s="1"/>
  <c r="S34" i="6" s="1"/>
  <c r="N34" i="6"/>
  <c r="E34" i="6" a="1"/>
  <c r="E34" i="6" s="1"/>
  <c r="M34" i="6"/>
  <c r="G34" i="6" a="1"/>
  <c r="G34" i="6" s="1"/>
  <c r="L34" i="6"/>
  <c r="D34" i="6" a="1"/>
  <c r="D34" i="6" s="1"/>
  <c r="H34" i="6" s="1"/>
  <c r="G28" i="6" a="1"/>
  <c r="G28" i="6" s="1"/>
  <c r="T28" i="6" s="1"/>
  <c r="F28" i="6" a="1"/>
  <c r="F28" i="6" s="1"/>
  <c r="N28" i="6"/>
  <c r="L28" i="6"/>
  <c r="M28" i="6"/>
  <c r="D28" i="6" a="1"/>
  <c r="D28" i="6" s="1"/>
  <c r="H28" i="6" s="1"/>
  <c r="E28" i="6" a="1"/>
  <c r="E28" i="6" s="1"/>
  <c r="G15" i="6" a="1"/>
  <c r="G15" i="6" s="1"/>
  <c r="T15" i="6" s="1"/>
  <c r="L15" i="6"/>
  <c r="M15" i="6"/>
  <c r="D15" i="6" a="1"/>
  <c r="D15" i="6" s="1"/>
  <c r="H15" i="6" s="1"/>
  <c r="E15" i="6" a="1"/>
  <c r="E15" i="6" s="1"/>
  <c r="N15" i="6"/>
  <c r="F15" i="6" a="1"/>
  <c r="F15" i="6" s="1"/>
  <c r="S15" i="6" s="1"/>
  <c r="E14" i="6" a="1"/>
  <c r="E14" i="6" s="1"/>
  <c r="M14" i="6"/>
  <c r="F14" i="6" a="1"/>
  <c r="F14" i="6" s="1"/>
  <c r="S14" i="6" s="1"/>
  <c r="G14" i="6" a="1"/>
  <c r="G14" i="6" s="1"/>
  <c r="T14" i="6" s="1"/>
  <c r="L14" i="6"/>
  <c r="D14" i="6" a="1"/>
  <c r="D14" i="6" s="1"/>
  <c r="H14" i="6" s="1"/>
  <c r="N14" i="6"/>
  <c r="B6" i="6"/>
  <c r="I4" i="5"/>
  <c r="J4" i="5" s="1"/>
  <c r="V38" i="6"/>
  <c r="G44" i="6" a="1"/>
  <c r="G44" i="6" s="1"/>
  <c r="F44" i="6" a="1"/>
  <c r="F44" i="6" s="1"/>
  <c r="E44" i="6" a="1"/>
  <c r="E44" i="6" s="1"/>
  <c r="D44" i="6" a="1"/>
  <c r="D44" i="6" s="1"/>
  <c r="H44" i="6" s="1"/>
  <c r="G43" i="6" a="1"/>
  <c r="G43" i="6" s="1"/>
  <c r="T43" i="6" s="1"/>
  <c r="F43" i="6" a="1"/>
  <c r="F43" i="6" s="1"/>
  <c r="E43" i="6" a="1"/>
  <c r="E43" i="6" s="1"/>
  <c r="D43" i="6" a="1"/>
  <c r="D43" i="6" s="1"/>
  <c r="H43" i="6" s="1"/>
  <c r="G45" i="6" a="1"/>
  <c r="G45" i="6" s="1"/>
  <c r="F45" i="6" a="1"/>
  <c r="F45" i="6" s="1"/>
  <c r="E45" i="6" a="1"/>
  <c r="E45" i="6" s="1"/>
  <c r="D45" i="6" a="1"/>
  <c r="D45" i="6" s="1"/>
  <c r="H45" i="6" s="1"/>
  <c r="F6" i="6" a="1"/>
  <c r="F6" i="6" s="1"/>
  <c r="S6" i="6" s="1"/>
  <c r="D6" i="6" a="1"/>
  <c r="D6" i="6" s="1"/>
  <c r="H6" i="6" s="1"/>
  <c r="N44" i="6"/>
  <c r="M44" i="6"/>
  <c r="M45" i="6"/>
  <c r="N45" i="6"/>
  <c r="N43" i="6"/>
  <c r="M43" i="6"/>
  <c r="D64" i="6" a="1"/>
  <c r="D64" i="6" s="1"/>
  <c r="H64" i="6" s="1"/>
  <c r="F64" i="6" a="1"/>
  <c r="F64" i="6" s="1"/>
  <c r="S64" i="6" s="1"/>
  <c r="E64" i="6" a="1"/>
  <c r="E64" i="6" s="1"/>
  <c r="G64" i="6" a="1"/>
  <c r="G64" i="6" s="1"/>
  <c r="T64" i="6" s="1"/>
  <c r="F73" i="6" a="1"/>
  <c r="F73" i="6" s="1"/>
  <c r="S73" i="6" s="1"/>
  <c r="G73" i="6" a="1"/>
  <c r="G73" i="6" s="1"/>
  <c r="T73" i="6" s="1"/>
  <c r="D73" i="6" a="1"/>
  <c r="D73" i="6" s="1"/>
  <c r="H73" i="6" s="1"/>
  <c r="E73" i="6" a="1"/>
  <c r="E73" i="6" s="1"/>
  <c r="D59" i="6" a="1"/>
  <c r="D59" i="6" s="1"/>
  <c r="H59" i="6" s="1"/>
  <c r="F59" i="6" a="1"/>
  <c r="F59" i="6" s="1"/>
  <c r="S59" i="6" s="1"/>
  <c r="E59" i="6" a="1"/>
  <c r="E59" i="6" s="1"/>
  <c r="G59" i="6" a="1"/>
  <c r="G59" i="6" s="1"/>
  <c r="T59" i="6" s="1"/>
  <c r="D60" i="6" a="1"/>
  <c r="D60" i="6" s="1"/>
  <c r="H60" i="6" s="1"/>
  <c r="F60" i="6" a="1"/>
  <c r="F60" i="6" s="1"/>
  <c r="S60" i="6" s="1"/>
  <c r="E60" i="6" a="1"/>
  <c r="E60" i="6" s="1"/>
  <c r="G60" i="6" a="1"/>
  <c r="G60" i="6" s="1"/>
  <c r="T60" i="6" s="1"/>
  <c r="E7" i="6" a="1"/>
  <c r="E7" i="6" s="1"/>
  <c r="G7" i="6" a="1"/>
  <c r="G7" i="6" s="1"/>
  <c r="D7" i="6" a="1"/>
  <c r="D7" i="6" s="1"/>
  <c r="H7" i="6" s="1"/>
  <c r="F7" i="6" a="1"/>
  <c r="F7" i="6" s="1"/>
  <c r="E11" i="6" a="1"/>
  <c r="E11" i="6" s="1"/>
  <c r="G11" i="6" a="1"/>
  <c r="G11" i="6" s="1"/>
  <c r="D11" i="6" a="1"/>
  <c r="D11" i="6" s="1"/>
  <c r="H11" i="6" s="1"/>
  <c r="F11" i="6" a="1"/>
  <c r="F11" i="6" s="1"/>
  <c r="S11" i="6" s="1"/>
  <c r="D10" i="6" a="1"/>
  <c r="D10" i="6" s="1"/>
  <c r="H10" i="6" s="1"/>
  <c r="F10" i="6" a="1"/>
  <c r="F10" i="6" s="1"/>
  <c r="S10" i="6" s="1"/>
  <c r="E10" i="6" a="1"/>
  <c r="E10" i="6" s="1"/>
  <c r="G10" i="6" a="1"/>
  <c r="G10" i="6" s="1"/>
  <c r="D9" i="6" a="1"/>
  <c r="D9" i="6" s="1"/>
  <c r="H9" i="6" s="1"/>
  <c r="F9" i="6" a="1"/>
  <c r="F9" i="6" s="1"/>
  <c r="S9" i="6" s="1"/>
  <c r="E9" i="6" a="1"/>
  <c r="E9" i="6" s="1"/>
  <c r="G9" i="6" a="1"/>
  <c r="G9" i="6" s="1"/>
  <c r="F71" i="6" a="1"/>
  <c r="F71" i="6" s="1"/>
  <c r="S71" i="6" s="1"/>
  <c r="G71" i="6" a="1"/>
  <c r="G71" i="6" s="1"/>
  <c r="T71" i="6" s="1"/>
  <c r="D71" i="6" a="1"/>
  <c r="D71" i="6" s="1"/>
  <c r="H71" i="6" s="1"/>
  <c r="E71" i="6" a="1"/>
  <c r="E71" i="6" s="1"/>
  <c r="I71" i="6" s="1"/>
  <c r="D56" i="6" a="1"/>
  <c r="D56" i="6" s="1"/>
  <c r="H56" i="6" s="1"/>
  <c r="F56" i="6" a="1"/>
  <c r="F56" i="6" s="1"/>
  <c r="S56" i="6" s="1"/>
  <c r="E56" i="6" a="1"/>
  <c r="E56" i="6" s="1"/>
  <c r="G56" i="6" a="1"/>
  <c r="G56" i="6" s="1"/>
  <c r="T56" i="6" s="1"/>
  <c r="D65" i="6" a="1"/>
  <c r="D65" i="6" s="1"/>
  <c r="H65" i="6" s="1"/>
  <c r="F65" i="6" a="1"/>
  <c r="F65" i="6" s="1"/>
  <c r="S65" i="6" s="1"/>
  <c r="E65" i="6" a="1"/>
  <c r="E65" i="6" s="1"/>
  <c r="G65" i="6" a="1"/>
  <c r="G65" i="6" s="1"/>
  <c r="T65" i="6" s="1"/>
  <c r="D58" i="6" a="1"/>
  <c r="D58" i="6" s="1"/>
  <c r="H58" i="6" s="1"/>
  <c r="F58" i="6" a="1"/>
  <c r="F58" i="6" s="1"/>
  <c r="S58" i="6" s="1"/>
  <c r="E58" i="6" a="1"/>
  <c r="E58" i="6" s="1"/>
  <c r="G58" i="6" a="1"/>
  <c r="G58" i="6" s="1"/>
  <c r="T58" i="6" s="1"/>
  <c r="D66" i="6" a="1"/>
  <c r="D66" i="6" s="1"/>
  <c r="H66" i="6" s="1"/>
  <c r="F66" i="6" a="1"/>
  <c r="F66" i="6" s="1"/>
  <c r="S66" i="6" s="1"/>
  <c r="E66" i="6" a="1"/>
  <c r="E66" i="6" s="1"/>
  <c r="G66" i="6" a="1"/>
  <c r="G66" i="6" s="1"/>
  <c r="T66" i="6" s="1"/>
  <c r="D61" i="6" a="1"/>
  <c r="D61" i="6" s="1"/>
  <c r="H61" i="6" s="1"/>
  <c r="F61" i="6" a="1"/>
  <c r="F61" i="6" s="1"/>
  <c r="S61" i="6" s="1"/>
  <c r="E61" i="6" a="1"/>
  <c r="E61" i="6" s="1"/>
  <c r="G61" i="6" a="1"/>
  <c r="G61" i="6" s="1"/>
  <c r="T61" i="6" s="1"/>
  <c r="D70" i="6" a="1"/>
  <c r="D70" i="6" s="1"/>
  <c r="H70" i="6" s="1"/>
  <c r="F70" i="6" a="1"/>
  <c r="F70" i="6" s="1"/>
  <c r="S70" i="6" s="1"/>
  <c r="E70" i="6" a="1"/>
  <c r="E70" i="6" s="1"/>
  <c r="G70" i="6" a="1"/>
  <c r="G70" i="6" s="1"/>
  <c r="T70" i="6" s="1"/>
  <c r="D67" i="6" a="1"/>
  <c r="D67" i="6" s="1"/>
  <c r="H67" i="6" s="1"/>
  <c r="F67" i="6" a="1"/>
  <c r="F67" i="6" s="1"/>
  <c r="S67" i="6" s="1"/>
  <c r="E67" i="6" a="1"/>
  <c r="E67" i="6" s="1"/>
  <c r="G67" i="6" a="1"/>
  <c r="G67" i="6" s="1"/>
  <c r="T67" i="6" s="1"/>
  <c r="F72" i="6" a="1"/>
  <c r="F72" i="6" s="1"/>
  <c r="S72" i="6" s="1"/>
  <c r="G72" i="6" a="1"/>
  <c r="G72" i="6" s="1"/>
  <c r="T72" i="6" s="1"/>
  <c r="D72" i="6" a="1"/>
  <c r="D72" i="6" s="1"/>
  <c r="H72" i="6" s="1"/>
  <c r="E72" i="6" a="1"/>
  <c r="E72" i="6" s="1"/>
  <c r="I72" i="6" s="1"/>
  <c r="D69" i="6" a="1"/>
  <c r="D69" i="6" s="1"/>
  <c r="H69" i="6" s="1"/>
  <c r="F69" i="6" a="1"/>
  <c r="F69" i="6" s="1"/>
  <c r="S69" i="6" s="1"/>
  <c r="E69" i="6" a="1"/>
  <c r="E69" i="6" s="1"/>
  <c r="G69" i="6" a="1"/>
  <c r="G69" i="6" s="1"/>
  <c r="T69" i="6" s="1"/>
  <c r="E49" i="6" a="1"/>
  <c r="E49" i="6" s="1"/>
  <c r="F74" i="6" a="1"/>
  <c r="F74" i="6" s="1"/>
  <c r="S74" i="6" s="1"/>
  <c r="G74" i="6" a="1"/>
  <c r="G74" i="6" s="1"/>
  <c r="T74" i="6" s="1"/>
  <c r="D74" i="6" a="1"/>
  <c r="D74" i="6" s="1"/>
  <c r="H74" i="6" s="1"/>
  <c r="E74" i="6" a="1"/>
  <c r="E74" i="6" s="1"/>
  <c r="D62" i="6" a="1"/>
  <c r="D62" i="6" s="1"/>
  <c r="H62" i="6" s="1"/>
  <c r="F62" i="6" a="1"/>
  <c r="F62" i="6" s="1"/>
  <c r="S62" i="6" s="1"/>
  <c r="E62" i="6" a="1"/>
  <c r="E62" i="6" s="1"/>
  <c r="G62" i="6" a="1"/>
  <c r="G62" i="6" s="1"/>
  <c r="T62" i="6" s="1"/>
  <c r="G6" i="6" a="1"/>
  <c r="G6" i="6" s="1"/>
  <c r="E6" i="6" a="1"/>
  <c r="E6" i="6" s="1"/>
  <c r="F42" i="6" a="1"/>
  <c r="F42" i="6" s="1"/>
  <c r="S42" i="6" s="1"/>
  <c r="E42" i="6" a="1"/>
  <c r="E42" i="6" s="1"/>
  <c r="D42" i="6" a="1"/>
  <c r="D42" i="6" s="1"/>
  <c r="H42" i="6" s="1"/>
  <c r="G42" i="6" a="1"/>
  <c r="G42" i="6" s="1"/>
  <c r="G55" i="6" a="1"/>
  <c r="G55" i="6" s="1"/>
  <c r="T55" i="6" s="1"/>
  <c r="F55" i="6" a="1"/>
  <c r="F55" i="6" s="1"/>
  <c r="S55" i="6" s="1"/>
  <c r="E55" i="6" a="1"/>
  <c r="E55" i="6" s="1"/>
  <c r="D55" i="6" a="1"/>
  <c r="D55" i="6" s="1"/>
  <c r="H55" i="6" s="1"/>
  <c r="D68" i="6" a="1"/>
  <c r="D68" i="6" s="1"/>
  <c r="H68" i="6" s="1"/>
  <c r="F68" i="6" a="1"/>
  <c r="F68" i="6" s="1"/>
  <c r="S68" i="6" s="1"/>
  <c r="E68" i="6" a="1"/>
  <c r="E68" i="6" s="1"/>
  <c r="G68" i="6" a="1"/>
  <c r="G68" i="6" s="1"/>
  <c r="T68" i="6" s="1"/>
  <c r="F12" i="6" a="1"/>
  <c r="F12" i="6" s="1"/>
  <c r="S12" i="6" s="1"/>
  <c r="E12" i="6" a="1"/>
  <c r="E12" i="6" s="1"/>
  <c r="G12" i="6" a="1"/>
  <c r="G12" i="6" s="1"/>
  <c r="D12" i="6" a="1"/>
  <c r="D12" i="6" s="1"/>
  <c r="H12" i="6" s="1"/>
  <c r="G22" i="6" a="1"/>
  <c r="G22" i="6" s="1"/>
  <c r="T22" i="6" s="1"/>
  <c r="E22" i="6" a="1"/>
  <c r="E22" i="6" s="1"/>
  <c r="D22" i="6" a="1"/>
  <c r="D22" i="6" s="1"/>
  <c r="H22" i="6" s="1"/>
  <c r="F8" i="6" a="1"/>
  <c r="F8" i="6" s="1"/>
  <c r="S8" i="6" s="1"/>
  <c r="E8" i="6" a="1"/>
  <c r="E8" i="6" s="1"/>
  <c r="G8" i="6" a="1"/>
  <c r="G8" i="6" s="1"/>
  <c r="D8" i="6" a="1"/>
  <c r="D8" i="6" s="1"/>
  <c r="H8" i="6" s="1"/>
  <c r="D63" i="6" a="1"/>
  <c r="D63" i="6" s="1"/>
  <c r="H63" i="6" s="1"/>
  <c r="F63" i="6" a="1"/>
  <c r="F63" i="6" s="1"/>
  <c r="S63" i="6" s="1"/>
  <c r="E63" i="6" a="1"/>
  <c r="E63" i="6" s="1"/>
  <c r="G63" i="6" a="1"/>
  <c r="G63" i="6" s="1"/>
  <c r="T63" i="6" s="1"/>
  <c r="D57" i="6" a="1"/>
  <c r="D57" i="6" s="1"/>
  <c r="H57" i="6" s="1"/>
  <c r="F57" i="6" a="1"/>
  <c r="F57" i="6" s="1"/>
  <c r="S57" i="6" s="1"/>
  <c r="E57" i="6" a="1"/>
  <c r="E57" i="6" s="1"/>
  <c r="G57" i="6" a="1"/>
  <c r="G57" i="6" s="1"/>
  <c r="T57" i="6" s="1"/>
  <c r="D13" i="6" a="1"/>
  <c r="D13" i="6" s="1"/>
  <c r="H13" i="6" s="1"/>
  <c r="F13" i="6" a="1"/>
  <c r="F13" i="6" s="1"/>
  <c r="S13" i="6" s="1"/>
  <c r="E13" i="6" a="1"/>
  <c r="E13" i="6" s="1"/>
  <c r="G13" i="6" a="1"/>
  <c r="G13" i="6" s="1"/>
  <c r="L6" i="6"/>
  <c r="M62" i="6"/>
  <c r="N62" i="6"/>
  <c r="L62" i="6"/>
  <c r="I54" i="5"/>
  <c r="J54" i="5" s="1"/>
  <c r="B60" i="6"/>
  <c r="L64" i="6"/>
  <c r="M64" i="6"/>
  <c r="N64" i="6"/>
  <c r="N73" i="6"/>
  <c r="M73" i="6"/>
  <c r="L73" i="6"/>
  <c r="M59" i="6"/>
  <c r="N59" i="6"/>
  <c r="L59" i="6"/>
  <c r="M66" i="6"/>
  <c r="L66" i="6"/>
  <c r="N66" i="6"/>
  <c r="N60" i="6"/>
  <c r="M60" i="6"/>
  <c r="L60" i="6"/>
  <c r="N61" i="6"/>
  <c r="M61" i="6"/>
  <c r="L61" i="6"/>
  <c r="M70" i="6"/>
  <c r="N70" i="6"/>
  <c r="L70" i="6"/>
  <c r="L67" i="6"/>
  <c r="M67" i="6"/>
  <c r="N67" i="6"/>
  <c r="W31" i="6"/>
  <c r="M55" i="6"/>
  <c r="N55" i="6"/>
  <c r="L55" i="6"/>
  <c r="G62" i="5"/>
  <c r="B68" i="6"/>
  <c r="M72" i="6"/>
  <c r="L72" i="6"/>
  <c r="N72" i="6"/>
  <c r="I50" i="5"/>
  <c r="J50" i="5" s="1"/>
  <c r="B56" i="6"/>
  <c r="I56" i="5"/>
  <c r="J56" i="5" s="1"/>
  <c r="B62" i="6"/>
  <c r="I58" i="5"/>
  <c r="J58" i="5" s="1"/>
  <c r="B64" i="6"/>
  <c r="I49" i="5"/>
  <c r="J49" i="5" s="1"/>
  <c r="B55" i="6"/>
  <c r="M68" i="6"/>
  <c r="L68" i="6"/>
  <c r="N68" i="6"/>
  <c r="I52" i="5"/>
  <c r="J52" i="5" s="1"/>
  <c r="B58" i="6"/>
  <c r="N69" i="6"/>
  <c r="M69" i="6"/>
  <c r="L69" i="6"/>
  <c r="I53" i="5"/>
  <c r="J53" i="5" s="1"/>
  <c r="B59" i="6"/>
  <c r="L63" i="6"/>
  <c r="M63" i="6"/>
  <c r="N63" i="6"/>
  <c r="I55" i="5"/>
  <c r="J55" i="5" s="1"/>
  <c r="B61" i="6"/>
  <c r="N57" i="6"/>
  <c r="L57" i="6"/>
  <c r="M57" i="6"/>
  <c r="G64" i="5"/>
  <c r="B70" i="6"/>
  <c r="I57" i="5"/>
  <c r="J57" i="5" s="1"/>
  <c r="B63" i="6"/>
  <c r="I51" i="5"/>
  <c r="J51" i="5" s="1"/>
  <c r="B57" i="6"/>
  <c r="M71" i="6"/>
  <c r="N71" i="6"/>
  <c r="L71" i="6"/>
  <c r="N56" i="6"/>
  <c r="M56" i="6"/>
  <c r="L56" i="6"/>
  <c r="N65" i="6"/>
  <c r="M65" i="6"/>
  <c r="L65" i="6"/>
  <c r="M58" i="6"/>
  <c r="L58" i="6"/>
  <c r="N58" i="6"/>
  <c r="G65" i="5"/>
  <c r="B71" i="6"/>
  <c r="I59" i="5"/>
  <c r="J59" i="5" s="1"/>
  <c r="B65" i="6"/>
  <c r="M74" i="6"/>
  <c r="N74" i="6"/>
  <c r="L74" i="6"/>
  <c r="W7" i="6"/>
  <c r="L43" i="6"/>
  <c r="M42" i="6"/>
  <c r="W23" i="6"/>
  <c r="L42" i="6"/>
  <c r="N42" i="6"/>
  <c r="W11" i="6"/>
  <c r="M13" i="6"/>
  <c r="L13" i="6"/>
  <c r="N13" i="6"/>
  <c r="B13" i="6"/>
  <c r="M12" i="6"/>
  <c r="L12" i="6"/>
  <c r="N12" i="6"/>
  <c r="S22" i="6"/>
  <c r="M22" i="6"/>
  <c r="L22" i="6"/>
  <c r="N22" i="6"/>
  <c r="N8" i="6"/>
  <c r="M8" i="6"/>
  <c r="L8" i="6"/>
  <c r="M7" i="6"/>
  <c r="L7" i="6"/>
  <c r="N7" i="6"/>
  <c r="M11" i="6"/>
  <c r="L11" i="6"/>
  <c r="N11" i="6"/>
  <c r="L10" i="6"/>
  <c r="N10" i="6"/>
  <c r="M10" i="6"/>
  <c r="M9" i="6"/>
  <c r="L9" i="6"/>
  <c r="N9" i="6"/>
  <c r="B43" i="6"/>
  <c r="N6" i="6"/>
  <c r="M6" i="6"/>
  <c r="G68" i="5"/>
  <c r="I68" i="5"/>
  <c r="J68" i="5" s="1"/>
  <c r="G59" i="5"/>
  <c r="G52" i="5"/>
  <c r="G50" i="5"/>
  <c r="G51" i="5"/>
  <c r="I65" i="5"/>
  <c r="J65" i="5" s="1"/>
  <c r="G56" i="5"/>
  <c r="G58" i="5"/>
  <c r="G49" i="5"/>
  <c r="G57" i="5"/>
  <c r="I64" i="5"/>
  <c r="J64" i="5" s="1"/>
  <c r="G44" i="5"/>
  <c r="I44" i="5"/>
  <c r="J44" i="5" s="1"/>
  <c r="G55" i="5"/>
  <c r="G54" i="5"/>
  <c r="I62" i="5"/>
  <c r="J62" i="5" s="1"/>
  <c r="G66" i="5"/>
  <c r="I66" i="5"/>
  <c r="J66" i="5" s="1"/>
  <c r="G53" i="5"/>
  <c r="I19" i="5"/>
  <c r="J19" i="5" s="1"/>
  <c r="G19" i="5"/>
  <c r="H19" i="5" s="1"/>
  <c r="I63" i="5"/>
  <c r="J63" i="5" s="1"/>
  <c r="G63" i="5"/>
  <c r="G60" i="5"/>
  <c r="I60" i="5"/>
  <c r="J60" i="5" s="1"/>
  <c r="J61" i="5"/>
  <c r="I67" i="5"/>
  <c r="J67" i="5" s="1"/>
  <c r="G67" i="5"/>
  <c r="A6" i="4"/>
  <c r="I68" i="6" l="1"/>
  <c r="G49" i="6" a="1"/>
  <c r="G49" i="6" s="1"/>
  <c r="T49" i="6" s="1"/>
  <c r="F49" i="6" a="1"/>
  <c r="F49" i="6" s="1"/>
  <c r="S49" i="6" s="1"/>
  <c r="I74" i="6"/>
  <c r="D49" i="6" a="1"/>
  <c r="D49" i="6" s="1"/>
  <c r="H49" i="6" s="1"/>
  <c r="V27" i="6" s="1"/>
  <c r="I62" i="6"/>
  <c r="I70" i="6"/>
  <c r="I66" i="6"/>
  <c r="I65" i="6"/>
  <c r="I60" i="6"/>
  <c r="I59" i="6"/>
  <c r="I64" i="6"/>
  <c r="I69" i="6"/>
  <c r="I67" i="6"/>
  <c r="I61" i="6"/>
  <c r="I58" i="6"/>
  <c r="I56" i="6"/>
  <c r="I73" i="6"/>
  <c r="I57" i="6"/>
  <c r="I55" i="6"/>
  <c r="I63" i="6"/>
  <c r="W38" i="6"/>
  <c r="W27" i="6"/>
  <c r="N49" i="6"/>
  <c r="L49" i="6"/>
  <c r="H6" i="4"/>
  <c r="I6" i="4" s="1"/>
  <c r="F6" i="4"/>
  <c r="G6" i="4" s="1"/>
  <c r="F5" i="4"/>
  <c r="G5" i="4" s="1"/>
  <c r="H5" i="4"/>
  <c r="I5" i="4" s="1"/>
  <c r="U14" i="6"/>
  <c r="A6" i="3"/>
  <c r="K33" i="6"/>
  <c r="V7" i="6"/>
  <c r="K36" i="6"/>
  <c r="J39" i="6"/>
  <c r="K39" i="6"/>
  <c r="X43" i="6"/>
  <c r="K23" i="6"/>
  <c r="J25" i="6"/>
  <c r="K25" i="6"/>
  <c r="K32" i="6"/>
  <c r="K28" i="6"/>
  <c r="K26" i="6"/>
  <c r="J23" i="6"/>
  <c r="J31" i="6"/>
  <c r="J37" i="6"/>
  <c r="K31" i="6"/>
  <c r="K37" i="6"/>
  <c r="J36" i="6"/>
  <c r="J24" i="6"/>
  <c r="J28" i="6"/>
  <c r="J26" i="6"/>
  <c r="J32" i="6"/>
  <c r="J27" i="6"/>
  <c r="K27" i="6"/>
  <c r="J33" i="6"/>
  <c r="K24" i="6"/>
  <c r="S31" i="6"/>
  <c r="K35" i="6"/>
  <c r="J35" i="6"/>
  <c r="J29" i="6"/>
  <c r="K29" i="6"/>
  <c r="K30" i="6"/>
  <c r="J30" i="6"/>
  <c r="K34" i="6"/>
  <c r="J34" i="6"/>
  <c r="J38" i="6"/>
  <c r="K38" i="6"/>
  <c r="J14" i="6"/>
  <c r="S38" i="6"/>
  <c r="U38" i="6" s="1"/>
  <c r="K14" i="6"/>
  <c r="S37" i="6"/>
  <c r="U37" i="6" s="1"/>
  <c r="J15" i="6"/>
  <c r="K15" i="6"/>
  <c r="J43" i="6"/>
  <c r="K45" i="6"/>
  <c r="K43" i="6"/>
  <c r="J45" i="6"/>
  <c r="J44" i="6"/>
  <c r="K44" i="6"/>
  <c r="J69" i="6"/>
  <c r="J66" i="6"/>
  <c r="U55" i="6"/>
  <c r="U71" i="6"/>
  <c r="S28" i="6"/>
  <c r="U28" i="6" s="1"/>
  <c r="U66" i="6"/>
  <c r="U56" i="6"/>
  <c r="J10" i="6"/>
  <c r="U59" i="6"/>
  <c r="J6" i="6"/>
  <c r="T45" i="6"/>
  <c r="S44" i="6"/>
  <c r="S45" i="6"/>
  <c r="T44" i="6"/>
  <c r="U62" i="6"/>
  <c r="U69" i="6"/>
  <c r="U61" i="6"/>
  <c r="U65" i="6"/>
  <c r="J22" i="6"/>
  <c r="U57" i="6"/>
  <c r="J12" i="6"/>
  <c r="J7" i="6"/>
  <c r="J8" i="6"/>
  <c r="U74" i="6"/>
  <c r="U72" i="6"/>
  <c r="U73" i="6"/>
  <c r="U63" i="6"/>
  <c r="J11" i="6"/>
  <c r="U67" i="6"/>
  <c r="U70" i="6"/>
  <c r="U58" i="6"/>
  <c r="U60" i="6"/>
  <c r="U64" i="6"/>
  <c r="U68" i="6"/>
  <c r="J13" i="6"/>
  <c r="S24" i="6"/>
  <c r="J42" i="6"/>
  <c r="J9" i="6"/>
  <c r="S43" i="6"/>
  <c r="U43" i="6" s="1"/>
  <c r="K22" i="6"/>
  <c r="J62" i="6"/>
  <c r="J57" i="6"/>
  <c r="V31" i="6"/>
  <c r="K6" i="6"/>
  <c r="J74" i="6"/>
  <c r="J63" i="6"/>
  <c r="J70" i="6"/>
  <c r="K74" i="6"/>
  <c r="K65" i="6"/>
  <c r="J71" i="6"/>
  <c r="K68" i="6"/>
  <c r="K67" i="6"/>
  <c r="K59" i="6"/>
  <c r="K64" i="6"/>
  <c r="J65" i="6"/>
  <c r="J56" i="6"/>
  <c r="K57" i="6"/>
  <c r="J68" i="6"/>
  <c r="J72" i="6"/>
  <c r="J55" i="6"/>
  <c r="J67" i="6"/>
  <c r="K70" i="6"/>
  <c r="K73" i="6"/>
  <c r="K62" i="6"/>
  <c r="W15" i="6"/>
  <c r="J58" i="6"/>
  <c r="K58" i="6"/>
  <c r="K69" i="6"/>
  <c r="J61" i="6"/>
  <c r="K60" i="6"/>
  <c r="J59" i="6"/>
  <c r="J73" i="6"/>
  <c r="K56" i="6"/>
  <c r="K71" i="6"/>
  <c r="K63" i="6"/>
  <c r="K72" i="6"/>
  <c r="K55" i="6"/>
  <c r="K61" i="6"/>
  <c r="J60" i="6"/>
  <c r="K66" i="6"/>
  <c r="J64" i="6"/>
  <c r="T27" i="6"/>
  <c r="U27" i="6" s="1"/>
  <c r="T31" i="6"/>
  <c r="T32" i="6"/>
  <c r="U32" i="6" s="1"/>
  <c r="T42" i="6"/>
  <c r="U42" i="6" s="1"/>
  <c r="T26" i="6"/>
  <c r="U26" i="6" s="1"/>
  <c r="T35" i="6"/>
  <c r="U35" i="6" s="1"/>
  <c r="T29" i="6"/>
  <c r="U29" i="6" s="1"/>
  <c r="T25" i="6"/>
  <c r="U25" i="6" s="1"/>
  <c r="T36" i="6"/>
  <c r="U36" i="6" s="1"/>
  <c r="U22" i="6"/>
  <c r="K42" i="6"/>
  <c r="T34" i="6"/>
  <c r="U34" i="6" s="1"/>
  <c r="T33" i="6"/>
  <c r="U33" i="6" s="1"/>
  <c r="T23" i="6"/>
  <c r="U23" i="6" s="1"/>
  <c r="T24" i="6"/>
  <c r="T30" i="6"/>
  <c r="U30" i="6" s="1"/>
  <c r="K13" i="6"/>
  <c r="T12" i="6"/>
  <c r="U12" i="6" s="1"/>
  <c r="T8" i="6"/>
  <c r="U8" i="6" s="1"/>
  <c r="K9" i="6"/>
  <c r="T10" i="6"/>
  <c r="U10" i="6" s="1"/>
  <c r="S7" i="6"/>
  <c r="K11" i="6"/>
  <c r="K8" i="6"/>
  <c r="T9" i="6"/>
  <c r="U9" i="6" s="1"/>
  <c r="K7" i="6"/>
  <c r="K10" i="6"/>
  <c r="K12" i="6"/>
  <c r="A7" i="4"/>
  <c r="J49" i="6" l="1"/>
  <c r="Y43" i="6" s="1"/>
  <c r="U49" i="6"/>
  <c r="X27" i="6" s="1"/>
  <c r="Y27" i="6" s="1"/>
  <c r="K49" i="6"/>
  <c r="I33" i="6"/>
  <c r="L7" i="4"/>
  <c r="M7" i="4"/>
  <c r="Q7" i="4"/>
  <c r="K7" i="4"/>
  <c r="R7" i="4"/>
  <c r="N7" i="4"/>
  <c r="J7" i="4"/>
  <c r="B7" i="4"/>
  <c r="P7" i="4"/>
  <c r="O7" i="4"/>
  <c r="Q8" i="4"/>
  <c r="I32" i="6"/>
  <c r="A7" i="3"/>
  <c r="U31" i="6"/>
  <c r="I23" i="6"/>
  <c r="I36" i="6"/>
  <c r="I39" i="6"/>
  <c r="I25" i="6"/>
  <c r="I29" i="6"/>
  <c r="I31" i="6"/>
  <c r="I38" i="6"/>
  <c r="I30" i="6"/>
  <c r="I28" i="6"/>
  <c r="I37" i="6"/>
  <c r="I27" i="6"/>
  <c r="I26" i="6"/>
  <c r="I34" i="6"/>
  <c r="I24" i="6"/>
  <c r="I35" i="6"/>
  <c r="I14" i="6"/>
  <c r="I15" i="6"/>
  <c r="I43" i="6"/>
  <c r="I10" i="6"/>
  <c r="I45" i="6"/>
  <c r="I44" i="6"/>
  <c r="I9" i="6"/>
  <c r="V23" i="6"/>
  <c r="W43" i="6" s="1"/>
  <c r="I11" i="6"/>
  <c r="I6" i="6"/>
  <c r="I12" i="6"/>
  <c r="I8" i="6"/>
  <c r="I22" i="6"/>
  <c r="U45" i="6"/>
  <c r="U44" i="6"/>
  <c r="I7" i="6"/>
  <c r="I13" i="6"/>
  <c r="X31" i="6"/>
  <c r="Y31" i="6" s="1"/>
  <c r="U24" i="6"/>
  <c r="I42" i="6"/>
  <c r="V11" i="6"/>
  <c r="V15" i="6"/>
  <c r="V43" i="6" s="1"/>
  <c r="AA9" i="6"/>
  <c r="AA6" i="6"/>
  <c r="AA10" i="6"/>
  <c r="T6" i="6"/>
  <c r="U6" i="6" s="1"/>
  <c r="T7" i="6"/>
  <c r="U7" i="6" s="1"/>
  <c r="T11" i="6"/>
  <c r="U11" i="6" s="1"/>
  <c r="T13" i="6"/>
  <c r="U13" i="6" s="1"/>
  <c r="A8" i="4"/>
  <c r="I49" i="6" l="1"/>
  <c r="N8" i="4"/>
  <c r="R8" i="4"/>
  <c r="M8" i="4"/>
  <c r="G7" i="4"/>
  <c r="H7" i="4"/>
  <c r="I7" i="4" s="1"/>
  <c r="N9" i="4"/>
  <c r="P8" i="4"/>
  <c r="R9" i="4"/>
  <c r="O9" i="4"/>
  <c r="O8" i="4"/>
  <c r="L8" i="4"/>
  <c r="X11" i="6"/>
  <c r="Y11" i="6" s="1"/>
  <c r="A8" i="3"/>
  <c r="X23" i="6"/>
  <c r="Y23" i="6" s="1"/>
  <c r="X7" i="6"/>
  <c r="A9" i="4"/>
  <c r="Q9" i="4" l="1"/>
  <c r="M9" i="4"/>
  <c r="Q10" i="4"/>
  <c r="P9" i="4"/>
  <c r="L9" i="4"/>
  <c r="A9" i="3"/>
  <c r="X15" i="6"/>
  <c r="Y15" i="6" s="1"/>
  <c r="Y7" i="6"/>
  <c r="A10" i="4"/>
  <c r="O10" i="4" l="1"/>
  <c r="R10" i="4"/>
  <c r="N10" i="4"/>
  <c r="M10" i="4"/>
  <c r="P10" i="4"/>
  <c r="L10" i="4"/>
  <c r="A10" i="3"/>
  <c r="A11" i="4"/>
  <c r="R11" i="4" l="1"/>
  <c r="L11" i="4"/>
  <c r="Q11" i="4"/>
  <c r="M11" i="4"/>
  <c r="N11" i="4"/>
  <c r="O11" i="4"/>
  <c r="P11" i="4"/>
  <c r="A11" i="3"/>
  <c r="A12" i="4"/>
  <c r="M12" i="4" l="1"/>
  <c r="Q12" i="4"/>
  <c r="O12" i="4"/>
  <c r="P12" i="4"/>
  <c r="Q13" i="4"/>
  <c r="R12" i="4"/>
  <c r="L12" i="4"/>
  <c r="A12" i="3"/>
  <c r="A13" i="4"/>
  <c r="M13" i="4" l="1"/>
  <c r="P13" i="4"/>
  <c r="A13" i="3"/>
  <c r="A14" i="4"/>
  <c r="A14" i="3" l="1"/>
  <c r="A15" i="4"/>
  <c r="A15" i="3" l="1"/>
  <c r="A16" i="4"/>
  <c r="A16" i="3" l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17" i="4"/>
  <c r="J26" i="4" l="1"/>
  <c r="N43" i="4"/>
  <c r="N50" i="4"/>
  <c r="Q34" i="4"/>
  <c r="O34" i="4"/>
  <c r="O38" i="4"/>
  <c r="R26" i="4"/>
  <c r="O33" i="4"/>
  <c r="Q43" i="4"/>
  <c r="M34" i="4"/>
  <c r="N46" i="4"/>
  <c r="R29" i="4"/>
  <c r="L17" i="4"/>
  <c r="N15" i="4"/>
  <c r="L46" i="4"/>
  <c r="J23" i="4"/>
  <c r="Q18" i="4"/>
  <c r="R35" i="4"/>
  <c r="P40" i="4"/>
  <c r="K36" i="4"/>
  <c r="E29" i="4"/>
  <c r="N32" i="4"/>
  <c r="B23" i="4"/>
  <c r="R21" i="4"/>
  <c r="P42" i="4"/>
  <c r="L13" i="4"/>
  <c r="M38" i="4"/>
  <c r="O21" i="4"/>
  <c r="L31" i="4"/>
  <c r="Q41" i="4"/>
  <c r="N48" i="4"/>
  <c r="R38" i="4"/>
  <c r="M41" i="4"/>
  <c r="O18" i="4"/>
  <c r="K40" i="4"/>
  <c r="J42" i="4"/>
  <c r="Q25" i="4"/>
  <c r="C52" i="4"/>
  <c r="O37" i="4"/>
  <c r="N51" i="4"/>
  <c r="L52" i="4"/>
  <c r="R13" i="4"/>
  <c r="P18" i="4"/>
  <c r="E25" i="4"/>
  <c r="K27" i="4"/>
  <c r="N39" i="4"/>
  <c r="B42" i="4"/>
  <c r="P44" i="4"/>
  <c r="J51" i="4"/>
  <c r="N25" i="4"/>
  <c r="N12" i="4"/>
  <c r="M45" i="4"/>
  <c r="B26" i="4"/>
  <c r="P31" i="4"/>
  <c r="B43" i="4"/>
  <c r="E24" i="4"/>
  <c r="L23" i="4"/>
  <c r="E45" i="4"/>
  <c r="Q16" i="4"/>
  <c r="M37" i="4"/>
  <c r="J25" i="4"/>
  <c r="C33" i="4"/>
  <c r="R50" i="4"/>
  <c r="Q28" i="4"/>
  <c r="J21" i="4"/>
  <c r="P52" i="4"/>
  <c r="L48" i="4"/>
  <c r="R16" i="4"/>
  <c r="N40" i="4"/>
  <c r="K51" i="4"/>
  <c r="B41" i="4"/>
  <c r="E21" i="4"/>
  <c r="Q45" i="4"/>
  <c r="N35" i="4"/>
  <c r="E26" i="4"/>
  <c r="C48" i="4"/>
  <c r="Q50" i="4"/>
  <c r="E22" i="4"/>
  <c r="L49" i="4"/>
  <c r="J32" i="4"/>
  <c r="R15" i="4"/>
  <c r="C34" i="4"/>
  <c r="K21" i="4"/>
  <c r="K23" i="4"/>
  <c r="M44" i="4"/>
  <c r="L24" i="4"/>
  <c r="B40" i="4"/>
  <c r="E50" i="4"/>
  <c r="N42" i="4"/>
  <c r="Q24" i="4"/>
  <c r="O30" i="4"/>
  <c r="N19" i="4"/>
  <c r="L18" i="4"/>
  <c r="M31" i="4"/>
  <c r="K26" i="4"/>
  <c r="Q48" i="4"/>
  <c r="L51" i="4"/>
  <c r="E30" i="4"/>
  <c r="C32" i="4"/>
  <c r="K35" i="4"/>
  <c r="O36" i="4"/>
  <c r="O15" i="4"/>
  <c r="P39" i="4"/>
  <c r="N52" i="4"/>
  <c r="E33" i="4"/>
  <c r="Q15" i="4"/>
  <c r="Q33" i="4"/>
  <c r="L40" i="4"/>
  <c r="M16" i="4"/>
  <c r="B32" i="4"/>
  <c r="R47" i="4"/>
  <c r="R34" i="4"/>
  <c r="Q22" i="4"/>
  <c r="K28" i="4"/>
  <c r="K37" i="4"/>
  <c r="O46" i="4"/>
  <c r="Q26" i="4"/>
  <c r="N38" i="4"/>
  <c r="J33" i="4"/>
  <c r="O50" i="4"/>
  <c r="N33" i="4"/>
  <c r="P29" i="4"/>
  <c r="O49" i="4"/>
  <c r="M39" i="4"/>
  <c r="L28" i="4"/>
  <c r="C44" i="4"/>
  <c r="K46" i="4"/>
  <c r="R32" i="4"/>
  <c r="N14" i="4"/>
  <c r="K22" i="4"/>
  <c r="N22" i="4"/>
  <c r="J45" i="4"/>
  <c r="C30" i="4"/>
  <c r="O39" i="4"/>
  <c r="M50" i="4"/>
  <c r="L41" i="4"/>
  <c r="B47" i="4"/>
  <c r="O27" i="4"/>
  <c r="Q47" i="4"/>
  <c r="J40" i="4"/>
  <c r="P47" i="4"/>
  <c r="C45" i="4"/>
  <c r="J35" i="4"/>
  <c r="R18" i="4"/>
  <c r="P16" i="4"/>
  <c r="P24" i="4"/>
  <c r="L26" i="4"/>
  <c r="J39" i="4"/>
  <c r="P25" i="4"/>
  <c r="N44" i="4"/>
  <c r="C46" i="4"/>
  <c r="M49" i="4"/>
  <c r="Q38" i="4"/>
  <c r="L38" i="4"/>
  <c r="O13" i="4"/>
  <c r="O29" i="4"/>
  <c r="B48" i="4"/>
  <c r="E52" i="4"/>
  <c r="Q31" i="4"/>
  <c r="M43" i="4"/>
  <c r="L50" i="4"/>
  <c r="E23" i="4"/>
  <c r="P27" i="4"/>
  <c r="K41" i="4"/>
  <c r="J27" i="4"/>
  <c r="E27" i="4"/>
  <c r="B38" i="4"/>
  <c r="B50" i="4"/>
  <c r="L45" i="4"/>
  <c r="M15" i="4"/>
  <c r="E20" i="4"/>
  <c r="Q36" i="4"/>
  <c r="B30" i="4"/>
  <c r="L22" i="4"/>
  <c r="L15" i="4"/>
  <c r="Q21" i="4"/>
  <c r="E35" i="4"/>
  <c r="J29" i="4"/>
  <c r="N28" i="4"/>
  <c r="M42" i="4"/>
  <c r="K44" i="4"/>
  <c r="L21" i="4"/>
  <c r="R39" i="4"/>
  <c r="P26" i="4"/>
  <c r="E48" i="4"/>
  <c r="L43" i="4"/>
  <c r="P37" i="4"/>
  <c r="N18" i="4"/>
  <c r="M27" i="4"/>
  <c r="R17" i="4"/>
  <c r="K31" i="4"/>
  <c r="M35" i="4"/>
  <c r="M25" i="4"/>
  <c r="B24" i="4"/>
  <c r="O42" i="4"/>
  <c r="O43" i="4"/>
  <c r="B44" i="4"/>
  <c r="P48" i="4"/>
  <c r="N13" i="4"/>
  <c r="R23" i="4"/>
  <c r="E31" i="4"/>
  <c r="P49" i="4"/>
  <c r="O23" i="4"/>
  <c r="B35" i="4"/>
  <c r="M14" i="4"/>
  <c r="L39" i="4"/>
  <c r="B36" i="4"/>
  <c r="P22" i="4"/>
  <c r="M22" i="4"/>
  <c r="N29" i="4"/>
  <c r="Q52" i="4"/>
  <c r="P35" i="4"/>
  <c r="L47" i="4"/>
  <c r="M33" i="4"/>
  <c r="L25" i="4"/>
  <c r="E36" i="4"/>
  <c r="Q32" i="4"/>
  <c r="Q30" i="4"/>
  <c r="Q23" i="4"/>
  <c r="P28" i="4"/>
  <c r="O25" i="4"/>
  <c r="B33" i="4"/>
  <c r="N16" i="4"/>
  <c r="N36" i="4"/>
  <c r="J22" i="4"/>
  <c r="R49" i="4"/>
  <c r="N31" i="4"/>
  <c r="Q29" i="4"/>
  <c r="M46" i="4"/>
  <c r="R31" i="4"/>
  <c r="Q39" i="4"/>
  <c r="O26" i="4"/>
  <c r="B52" i="4"/>
  <c r="R37" i="4"/>
  <c r="R33" i="4"/>
  <c r="J31" i="4"/>
  <c r="R20" i="4"/>
  <c r="N26" i="4"/>
  <c r="J52" i="4"/>
  <c r="N24" i="4"/>
  <c r="M47" i="4"/>
  <c r="M20" i="4"/>
  <c r="K38" i="4"/>
  <c r="N41" i="4"/>
  <c r="N47" i="4"/>
  <c r="O40" i="4"/>
  <c r="J44" i="4"/>
  <c r="E28" i="4"/>
  <c r="B28" i="4"/>
  <c r="R40" i="4"/>
  <c r="R28" i="4"/>
  <c r="J24" i="4"/>
  <c r="O28" i="4"/>
  <c r="R43" i="4"/>
  <c r="P30" i="4"/>
  <c r="M30" i="4"/>
  <c r="K25" i="4"/>
  <c r="Q27" i="4"/>
  <c r="M21" i="4"/>
  <c r="B46" i="4"/>
  <c r="J34" i="4"/>
  <c r="C29" i="4"/>
  <c r="R48" i="4"/>
  <c r="Q40" i="4"/>
  <c r="Q14" i="4"/>
  <c r="O51" i="4"/>
  <c r="K24" i="4"/>
  <c r="K34" i="4"/>
  <c r="R30" i="4"/>
  <c r="P38" i="4"/>
  <c r="R24" i="4"/>
  <c r="B27" i="4"/>
  <c r="M40" i="4"/>
  <c r="M18" i="4"/>
  <c r="Q20" i="4"/>
  <c r="Q51" i="4"/>
  <c r="L16" i="4"/>
  <c r="O32" i="4"/>
  <c r="R22" i="4"/>
  <c r="B37" i="4"/>
  <c r="P20" i="4"/>
  <c r="J50" i="4"/>
  <c r="J49" i="4"/>
  <c r="R45" i="4"/>
  <c r="B20" i="4"/>
  <c r="J38" i="4"/>
  <c r="K49" i="4"/>
  <c r="N49" i="4"/>
  <c r="O24" i="4"/>
  <c r="O19" i="4"/>
  <c r="M51" i="4"/>
  <c r="J43" i="4"/>
  <c r="C50" i="4"/>
  <c r="K43" i="4"/>
  <c r="M52" i="4"/>
  <c r="B39" i="4"/>
  <c r="B29" i="4"/>
  <c r="P36" i="4"/>
  <c r="M32" i="4"/>
  <c r="J20" i="4"/>
  <c r="E47" i="4"/>
  <c r="R52" i="4"/>
  <c r="O22" i="4"/>
  <c r="J41" i="4"/>
  <c r="B22" i="4"/>
  <c r="L14" i="4"/>
  <c r="P41" i="4"/>
  <c r="P23" i="4"/>
  <c r="C37" i="4"/>
  <c r="K47" i="4"/>
  <c r="E49" i="4"/>
  <c r="B21" i="4"/>
  <c r="N45" i="4"/>
  <c r="C49" i="4"/>
  <c r="E37" i="4"/>
  <c r="L42" i="4"/>
  <c r="L44" i="4"/>
  <c r="Q17" i="4"/>
  <c r="P33" i="4"/>
  <c r="K39" i="4"/>
  <c r="E46" i="4"/>
  <c r="N21" i="4"/>
  <c r="B31" i="4"/>
  <c r="R25" i="4"/>
  <c r="P34" i="4"/>
  <c r="L29" i="4"/>
  <c r="K45" i="4"/>
  <c r="Q49" i="4"/>
  <c r="N30" i="4"/>
  <c r="M24" i="4"/>
  <c r="B49" i="4"/>
  <c r="N20" i="4"/>
  <c r="B25" i="4"/>
  <c r="K42" i="4"/>
  <c r="M28" i="4"/>
  <c r="R14" i="4"/>
  <c r="L20" i="4"/>
  <c r="M19" i="4"/>
  <c r="P46" i="4"/>
  <c r="J37" i="4"/>
  <c r="O20" i="4"/>
  <c r="R51" i="4"/>
  <c r="E34" i="4"/>
  <c r="O44" i="4"/>
  <c r="O14" i="4"/>
  <c r="M29" i="4"/>
  <c r="C36" i="4"/>
  <c r="Q44" i="4"/>
  <c r="R46" i="4"/>
  <c r="M23" i="4"/>
  <c r="Q35" i="4"/>
  <c r="L32" i="4"/>
  <c r="B45" i="4"/>
  <c r="K52" i="4"/>
  <c r="O45" i="4"/>
  <c r="P14" i="4"/>
  <c r="L27" i="4"/>
  <c r="K20" i="4"/>
  <c r="C35" i="4"/>
  <c r="P17" i="4"/>
  <c r="N27" i="4"/>
  <c r="O31" i="4"/>
  <c r="B34" i="4"/>
  <c r="R42" i="4"/>
  <c r="M48" i="4"/>
  <c r="E32" i="4"/>
  <c r="P15" i="4"/>
  <c r="L19" i="4"/>
  <c r="Q19" i="4"/>
  <c r="C31" i="4"/>
  <c r="O47" i="4"/>
  <c r="P19" i="4"/>
  <c r="O41" i="4"/>
  <c r="K29" i="4"/>
  <c r="O17" i="4"/>
  <c r="P50" i="4"/>
  <c r="J36" i="4"/>
  <c r="P21" i="4"/>
  <c r="P45" i="4"/>
  <c r="K30" i="4"/>
  <c r="R41" i="4"/>
  <c r="J30" i="4"/>
  <c r="O35" i="4"/>
  <c r="O48" i="4"/>
  <c r="Q37" i="4"/>
  <c r="J48" i="4"/>
  <c r="R19" i="4"/>
  <c r="E51" i="4"/>
  <c r="B51" i="4"/>
  <c r="L37" i="4"/>
  <c r="N37" i="4"/>
  <c r="Q42" i="4"/>
  <c r="K32" i="4"/>
  <c r="M17" i="4"/>
  <c r="J46" i="4"/>
  <c r="P32" i="4"/>
  <c r="N34" i="4"/>
  <c r="R27" i="4"/>
  <c r="R36" i="4"/>
  <c r="N17" i="4"/>
  <c r="C51" i="4"/>
  <c r="K50" i="4"/>
  <c r="O16" i="4"/>
  <c r="M26" i="4"/>
  <c r="J47" i="4"/>
  <c r="M36" i="4"/>
  <c r="L30" i="4"/>
  <c r="J28" i="4"/>
  <c r="K48" i="4"/>
  <c r="O52" i="4"/>
  <c r="C47" i="4"/>
  <c r="Q46" i="4"/>
  <c r="N23" i="4"/>
  <c r="R44" i="4"/>
  <c r="P43" i="4"/>
  <c r="E44" i="4"/>
  <c r="P51" i="4"/>
  <c r="K33" i="4"/>
  <c r="A18" i="4"/>
  <c r="F31" i="4" l="1"/>
  <c r="G31" i="4" s="1"/>
  <c r="H31" i="4"/>
  <c r="I31" i="4" s="1"/>
  <c r="H30" i="4"/>
  <c r="I30" i="4" s="1"/>
  <c r="F30" i="4"/>
  <c r="G30" i="4" s="1"/>
  <c r="H51" i="4"/>
  <c r="I51" i="4" s="1"/>
  <c r="F51" i="4"/>
  <c r="G51" i="4" s="1"/>
  <c r="F25" i="4"/>
  <c r="G25" i="4" s="1"/>
  <c r="H25" i="4"/>
  <c r="I25" i="4" s="1"/>
  <c r="H40" i="4"/>
  <c r="I40" i="4" s="1"/>
  <c r="G40" i="4"/>
  <c r="F37" i="4"/>
  <c r="G37" i="4" s="1"/>
  <c r="H37" i="4"/>
  <c r="I37" i="4" s="1"/>
  <c r="F26" i="4"/>
  <c r="G26" i="4" s="1"/>
  <c r="H26" i="4"/>
  <c r="I26" i="4" s="1"/>
  <c r="F44" i="4"/>
  <c r="G44" i="4" s="1"/>
  <c r="H44" i="4"/>
  <c r="I44" i="4" s="1"/>
  <c r="F20" i="4"/>
  <c r="G20" i="4" s="1"/>
  <c r="H20" i="4"/>
  <c r="I20" i="4" s="1"/>
  <c r="F47" i="4"/>
  <c r="G47" i="4" s="1"/>
  <c r="H47" i="4"/>
  <c r="I47" i="4" s="1"/>
  <c r="F36" i="4"/>
  <c r="G36" i="4" s="1"/>
  <c r="H36" i="4"/>
  <c r="I36" i="4" s="1"/>
  <c r="H38" i="4"/>
  <c r="I38" i="4" s="1"/>
  <c r="G38" i="4"/>
  <c r="H39" i="4"/>
  <c r="I39" i="4" s="1"/>
  <c r="G39" i="4"/>
  <c r="H35" i="4"/>
  <c r="I35" i="4" s="1"/>
  <c r="F35" i="4"/>
  <c r="G35" i="4" s="1"/>
  <c r="F45" i="4"/>
  <c r="G45" i="4" s="1"/>
  <c r="H45" i="4"/>
  <c r="I45" i="4" s="1"/>
  <c r="H52" i="4"/>
  <c r="I52" i="4" s="1"/>
  <c r="F52" i="4"/>
  <c r="G52" i="4" s="1"/>
  <c r="H27" i="4"/>
  <c r="I27" i="4" s="1"/>
  <c r="F27" i="4"/>
  <c r="G27" i="4" s="1"/>
  <c r="F23" i="4"/>
  <c r="G23" i="4" s="1"/>
  <c r="H23" i="4"/>
  <c r="I23" i="4" s="1"/>
  <c r="F48" i="4"/>
  <c r="G48" i="4" s="1"/>
  <c r="H48" i="4"/>
  <c r="I48" i="4" s="1"/>
  <c r="G41" i="4"/>
  <c r="H41" i="4"/>
  <c r="I41" i="4" s="1"/>
  <c r="F32" i="4"/>
  <c r="G32" i="4" s="1"/>
  <c r="H32" i="4"/>
  <c r="I32" i="4" s="1"/>
  <c r="F22" i="4"/>
  <c r="G22" i="4" s="1"/>
  <c r="H22" i="4"/>
  <c r="I22" i="4" s="1"/>
  <c r="H50" i="4"/>
  <c r="I50" i="4" s="1"/>
  <c r="F50" i="4"/>
  <c r="G50" i="4" s="1"/>
  <c r="G42" i="4"/>
  <c r="H42" i="4"/>
  <c r="I42" i="4" s="1"/>
  <c r="H21" i="4"/>
  <c r="I21" i="4" s="1"/>
  <c r="F21" i="4"/>
  <c r="G21" i="4" s="1"/>
  <c r="H33" i="4"/>
  <c r="I33" i="4" s="1"/>
  <c r="F33" i="4"/>
  <c r="G33" i="4" s="1"/>
  <c r="F49" i="4"/>
  <c r="G49" i="4" s="1"/>
  <c r="H49" i="4"/>
  <c r="I49" i="4" s="1"/>
  <c r="I28" i="4"/>
  <c r="F28" i="4"/>
  <c r="G28" i="4" s="1"/>
  <c r="H34" i="4"/>
  <c r="I34" i="4" s="1"/>
  <c r="F34" i="4"/>
  <c r="G34" i="4" s="1"/>
  <c r="G43" i="4"/>
  <c r="H43" i="4"/>
  <c r="I43" i="4" s="1"/>
  <c r="F29" i="4"/>
  <c r="G29" i="4" s="1"/>
  <c r="H29" i="4"/>
  <c r="I29" i="4" s="1"/>
  <c r="H46" i="4"/>
  <c r="I46" i="4" s="1"/>
  <c r="F46" i="4"/>
  <c r="G46" i="4" s="1"/>
  <c r="A19" i="4"/>
  <c r="A20" i="4" l="1"/>
  <c r="A21" i="4" l="1"/>
  <c r="A22" i="4" l="1"/>
  <c r="A23" i="4" l="1"/>
  <c r="A24" i="4" l="1"/>
  <c r="A25" i="4" l="1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A45" i="4" l="1"/>
  <c r="A46" i="4" l="1"/>
  <c r="A47" i="4" l="1"/>
  <c r="A48" i="4" l="1"/>
  <c r="A49" i="4" l="1"/>
  <c r="A50" i="4" l="1"/>
  <c r="A51" i="4" l="1"/>
  <c r="A52" i="4" l="1"/>
  <c r="O45" i="6" l="1"/>
  <c r="O44" i="6"/>
  <c r="O73" i="6"/>
  <c r="O74" i="6"/>
  <c r="O72" i="6"/>
  <c r="O68" i="6"/>
  <c r="H53" i="5"/>
  <c r="H44" i="5"/>
  <c r="H56" i="5"/>
  <c r="H65" i="5"/>
  <c r="H58" i="5"/>
  <c r="H51" i="5"/>
  <c r="H64" i="5"/>
  <c r="H63" i="5"/>
  <c r="H62" i="5"/>
  <c r="H59" i="5"/>
  <c r="H50" i="5"/>
  <c r="H57" i="5"/>
  <c r="O39" i="6" l="1"/>
  <c r="O70" i="6"/>
  <c r="O61" i="6"/>
  <c r="H49" i="5"/>
  <c r="O71" i="6"/>
  <c r="O64" i="6"/>
  <c r="H54" i="5"/>
  <c r="H55" i="5"/>
  <c r="H68" i="5"/>
  <c r="H67" i="5"/>
  <c r="H4" i="5"/>
  <c r="O56" i="6"/>
  <c r="O66" i="6"/>
  <c r="O22" i="6"/>
  <c r="H60" i="5"/>
  <c r="H61" i="5"/>
  <c r="O28" i="6"/>
  <c r="O13" i="6"/>
  <c r="H66" i="5"/>
  <c r="H52" i="5"/>
  <c r="O65" i="6" l="1"/>
  <c r="O55" i="6"/>
  <c r="O34" i="6"/>
  <c r="O67" i="6"/>
  <c r="O10" i="6"/>
  <c r="O58" i="6"/>
  <c r="O7" i="6"/>
  <c r="O12" i="6"/>
  <c r="O37" i="6"/>
  <c r="O33" i="6"/>
  <c r="O35" i="6"/>
  <c r="O8" i="6"/>
  <c r="O11" i="6"/>
  <c r="O24" i="6"/>
  <c r="O30" i="6"/>
  <c r="O63" i="6"/>
  <c r="O25" i="6"/>
  <c r="O62" i="6"/>
  <c r="O29" i="6"/>
  <c r="O23" i="6"/>
  <c r="O26" i="6"/>
  <c r="O27" i="6"/>
  <c r="O69" i="6"/>
  <c r="O59" i="6"/>
  <c r="O60" i="6"/>
  <c r="O42" i="6"/>
  <c r="O43" i="6"/>
  <c r="O36" i="6"/>
  <c r="O9" i="6"/>
  <c r="O31" i="6"/>
  <c r="O14" i="6"/>
  <c r="O38" i="6"/>
  <c r="O57" i="6"/>
  <c r="O32" i="6"/>
  <c r="O15" i="6"/>
  <c r="O6" i="6"/>
  <c r="O16" i="6"/>
  <c r="O17" i="6"/>
  <c r="O4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<sst xmlns="http://schemas.openxmlformats.org/spreadsheetml/2006/main" count="1473" uniqueCount="474">
  <si>
    <t>PCD SALAS</t>
  </si>
  <si>
    <t>SALA 01 ROTA - MATINAL 7:00</t>
  </si>
  <si>
    <t>Plate</t>
  </si>
  <si>
    <t>Data</t>
  </si>
  <si>
    <t>Placa</t>
  </si>
  <si>
    <t>Mapa</t>
  </si>
  <si>
    <t>Oper.</t>
  </si>
  <si>
    <t>Id1</t>
  </si>
  <si>
    <t>Motorista</t>
  </si>
  <si>
    <t>Id2</t>
  </si>
  <si>
    <t>Ajudante</t>
  </si>
  <si>
    <t>Entregas</t>
  </si>
  <si>
    <t>Cidades +Entregas</t>
  </si>
  <si>
    <t>Região +Entregas</t>
  </si>
  <si>
    <t>KM Prev.</t>
  </si>
  <si>
    <t>Tempo Prev.</t>
  </si>
  <si>
    <t>Tot. caixas</t>
  </si>
  <si>
    <t>Ocupação (%)</t>
  </si>
  <si>
    <t>Peso total</t>
  </si>
  <si>
    <t>Ocup. Peso</t>
  </si>
  <si>
    <t xml:space="preserve">SALA 02 ROTA - MATINAL 8:00 </t>
  </si>
  <si>
    <t>q</t>
  </si>
  <si>
    <t xml:space="preserve"> </t>
  </si>
  <si>
    <t>SALA 03 ASCD - MATINAL 8:00</t>
  </si>
  <si>
    <t>SALA 04 VESPERTINA - MATINAL 12:00</t>
  </si>
  <si>
    <t>SALA 04 SPOT - MATINAL 6:00</t>
  </si>
  <si>
    <t>.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</si>
  <si>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RELATÓRIO PCD GERÊNCIAL</t>
  </si>
  <si>
    <t>Map</t>
  </si>
  <si>
    <t>Ocup. Peso (%)</t>
  </si>
  <si>
    <t>FIDELIZAÇÃO DE FROTAS &amp; EQUIPES</t>
  </si>
  <si>
    <t>SALA 01 - 07:00 - DISTRIBUIÇÃO URBANA</t>
  </si>
  <si>
    <t>FOLGAS/FALTAS</t>
  </si>
  <si>
    <t>FÉRIAS</t>
  </si>
  <si>
    <t>ID</t>
  </si>
  <si>
    <t>PLACA</t>
  </si>
  <si>
    <t>COD</t>
  </si>
  <si>
    <t>ID2</t>
  </si>
  <si>
    <t>MOTORISTA</t>
  </si>
  <si>
    <t>ID3</t>
  </si>
  <si>
    <t>AJUDANTE</t>
  </si>
  <si>
    <t>SAIU?</t>
  </si>
  <si>
    <t>REGIAO</t>
  </si>
  <si>
    <t>TIPO</t>
  </si>
  <si>
    <t>DATA INICIAL</t>
  </si>
  <si>
    <t>RETORNO</t>
  </si>
  <si>
    <t>DATA INICIAL2</t>
  </si>
  <si>
    <t>RETORNO2</t>
  </si>
  <si>
    <t>FEU8905</t>
  </si>
  <si>
    <t>PATRICK / 192 LUIS</t>
  </si>
  <si>
    <t/>
  </si>
  <si>
    <t>GIU0950</t>
  </si>
  <si>
    <t>DAVID / 153 LUCAS</t>
  </si>
  <si>
    <t>QJU2428</t>
  </si>
  <si>
    <t>FUE8714</t>
  </si>
  <si>
    <t>RAFAEL / 193 JOEMIR</t>
  </si>
  <si>
    <t>FML6122</t>
  </si>
  <si>
    <t>FCO7153</t>
  </si>
  <si>
    <t>LUCAS GONÇALVES / 120 EDSON</t>
  </si>
  <si>
    <t>AFASTAMENTOS</t>
  </si>
  <si>
    <t>SALA 02 - 08:00 - DISTRIBUIÇÃO URBANA</t>
  </si>
  <si>
    <t>RTI1I17</t>
  </si>
  <si>
    <t>RKW7G77</t>
  </si>
  <si>
    <t>PEDRO / 149 DIEGO</t>
  </si>
  <si>
    <t>GHK2F66</t>
  </si>
  <si>
    <t>IGOR / 185 EDER</t>
  </si>
  <si>
    <t>PLACAS NÃO UTILIZADAS</t>
  </si>
  <si>
    <t>GAU0G73</t>
  </si>
  <si>
    <t>QJU2F48</t>
  </si>
  <si>
    <t>QJT3668</t>
  </si>
  <si>
    <t>UDI4C07</t>
  </si>
  <si>
    <t>REGIÕES E SAIDAS</t>
  </si>
  <si>
    <t>FCA8H37</t>
  </si>
  <si>
    <t>CLAUDIO / 190 JONATHAN</t>
  </si>
  <si>
    <t>SUM</t>
  </si>
  <si>
    <t>REGIÃO</t>
  </si>
  <si>
    <t>SUM2</t>
  </si>
  <si>
    <t>REGIÃO3</t>
  </si>
  <si>
    <t>GKF6739</t>
  </si>
  <si>
    <t>ODIMAR / 187 ANDERSON</t>
  </si>
  <si>
    <t>MED SUL</t>
  </si>
  <si>
    <t>PORTO MEIRA</t>
  </si>
  <si>
    <t>RDZ9A66</t>
  </si>
  <si>
    <t>QJU2248</t>
  </si>
  <si>
    <t>CÉU AZUL</t>
  </si>
  <si>
    <t>AEROPORTO/CATARATAS</t>
  </si>
  <si>
    <t>MED NORTE</t>
  </si>
  <si>
    <t>MORUMBI 2</t>
  </si>
  <si>
    <t>STA HELENA</t>
  </si>
  <si>
    <t>VILA C 2</t>
  </si>
  <si>
    <t>SÃO MIGUEL</t>
  </si>
  <si>
    <t>JD AMERICA</t>
  </si>
  <si>
    <t>MATELANDIA</t>
  </si>
  <si>
    <t xml:space="preserve">VILA A </t>
  </si>
  <si>
    <t>STA TEREZINHA</t>
  </si>
  <si>
    <t>SJ DAS PALM</t>
  </si>
  <si>
    <t>SALA 03 - 12:00 - VESPERTINA</t>
  </si>
  <si>
    <t>MORUMBI</t>
  </si>
  <si>
    <t>ITAIPULANDIA</t>
  </si>
  <si>
    <t>Motoristas</t>
  </si>
  <si>
    <t>VILA C</t>
  </si>
  <si>
    <t>P. MEIRA SUL</t>
  </si>
  <si>
    <t>FUX6061</t>
  </si>
  <si>
    <t>INTERBAIRROS</t>
  </si>
  <si>
    <t>Ajudantes</t>
  </si>
  <si>
    <t>TRÊS LAGOAS</t>
  </si>
  <si>
    <t>TRES BANDEIRAS</t>
  </si>
  <si>
    <t>CENTRO</t>
  </si>
  <si>
    <t>CAMPOS DO IGUAÇU</t>
  </si>
  <si>
    <t>SALA 04 - 08:00 - ASCD</t>
  </si>
  <si>
    <t xml:space="preserve">OBSERVAÇÕES PARA ROTEIRIZAÇÃO </t>
  </si>
  <si>
    <t>RAI4107</t>
  </si>
  <si>
    <t>SALA 05 - 05:00 - SPOT</t>
  </si>
  <si>
    <t>EWU3H21</t>
  </si>
  <si>
    <t>truck</t>
  </si>
  <si>
    <t>PFO8I82</t>
  </si>
  <si>
    <t>MIY5I81</t>
  </si>
  <si>
    <t>IJU2A88</t>
  </si>
  <si>
    <t>DVT4G32</t>
  </si>
  <si>
    <t>TOCO</t>
  </si>
  <si>
    <t>MLZ0F64</t>
  </si>
  <si>
    <t>MDB1A18</t>
  </si>
  <si>
    <t>toco</t>
  </si>
  <si>
    <t>KAG0C07</t>
  </si>
  <si>
    <t>IQU6H77</t>
  </si>
  <si>
    <t>NXK5H74</t>
  </si>
  <si>
    <t>ILS6J99</t>
  </si>
  <si>
    <t>van</t>
  </si>
  <si>
    <t>DLL4A97</t>
  </si>
  <si>
    <t>ORA6C61</t>
  </si>
  <si>
    <t>ARD7F95</t>
  </si>
  <si>
    <t>IZI3B97</t>
  </si>
  <si>
    <t>UNB</t>
  </si>
  <si>
    <t>Nome UNB</t>
  </si>
  <si>
    <t>Transportadora</t>
  </si>
  <si>
    <t>Nome Transportadora</t>
  </si>
  <si>
    <t>Data Entrega</t>
  </si>
  <si>
    <t>Roteirizado</t>
  </si>
  <si>
    <t>Nro do Mapa</t>
  </si>
  <si>
    <t>Nro do RoadShow</t>
  </si>
  <si>
    <t>Hora Imp Roadshow</t>
  </si>
  <si>
    <t>AS / Rota</t>
  </si>
  <si>
    <t>Armazém</t>
  </si>
  <si>
    <t>Veículo</t>
  </si>
  <si>
    <t>Veiculo Substituto</t>
  </si>
  <si>
    <t>Carga</t>
  </si>
  <si>
    <t>MPD</t>
  </si>
  <si>
    <t>Hora MPD</t>
  </si>
  <si>
    <t>Classificação</t>
  </si>
  <si>
    <t>Tempo Prev. (+almoço)</t>
  </si>
  <si>
    <t>Total de caixas</t>
  </si>
  <si>
    <t>% Ocupação Caixas</t>
  </si>
  <si>
    <t>Total peso</t>
  </si>
  <si>
    <t>% Ocupação Peso</t>
  </si>
  <si>
    <t>% Tempo</t>
  </si>
  <si>
    <t>% Eficiência</t>
  </si>
  <si>
    <t>Ação</t>
  </si>
  <si>
    <t>Mapas da Ação</t>
  </si>
  <si>
    <t>Usuario</t>
  </si>
  <si>
    <t>Hora</t>
  </si>
  <si>
    <t>Carga Atual</t>
  </si>
  <si>
    <t>Excesso</t>
  </si>
  <si>
    <t>Filial Origem</t>
  </si>
  <si>
    <t>Clientes</t>
  </si>
  <si>
    <t>Mapa Transbordo</t>
  </si>
  <si>
    <t>CDD FOZ DO IGUACU</t>
  </si>
  <si>
    <t>Log20 Logistica S/A</t>
  </si>
  <si>
    <t>Sim</t>
  </si>
  <si>
    <t>AS</t>
  </si>
  <si>
    <t>VUC</t>
  </si>
  <si>
    <t>Freteiro</t>
  </si>
  <si>
    <t>Carregado</t>
  </si>
  <si>
    <t>Longa Distância</t>
  </si>
  <si>
    <t>Roterizada</t>
  </si>
  <si>
    <t>Tempo</t>
  </si>
  <si>
    <t>FORMOSA DO OESTE (1)</t>
  </si>
  <si>
    <t>[FOR]: CENTRO (1)</t>
  </si>
  <si>
    <t>GOIOERE (1)</t>
  </si>
  <si>
    <t>[GOI]: CENTRO (1)</t>
  </si>
  <si>
    <t>Padrao</t>
  </si>
  <si>
    <t>MARECHAL CANDIDO RONDON (1)</t>
  </si>
  <si>
    <t>[MAR]: CENTRO (1)</t>
  </si>
  <si>
    <t>JESUITAS (1)</t>
  </si>
  <si>
    <t>[JES]: CENTRO (1)</t>
  </si>
  <si>
    <t>Truck</t>
  </si>
  <si>
    <t>GUAIRA (1)</t>
  </si>
  <si>
    <t>[GUA]: CENTRO (1)</t>
  </si>
  <si>
    <t>Rota</t>
  </si>
  <si>
    <t>Toco</t>
  </si>
  <si>
    <t>Fixa</t>
  </si>
  <si>
    <t>SANTA HELENA (14)</t>
  </si>
  <si>
    <t>[SAN]: CENTRO (6) / DISTRITO DE VILA CELESTE (1) / DISTRITO DE SUB-SEDE SAO FRANCISCO (1) / MORENINHA (1) / VILA NOVA (1) / MORENINHA (1) / SAO CLEMENTE (1) / SUB SEDE (1) / VILA RICA (1)</t>
  </si>
  <si>
    <t>0007824/0001227/0006783/0008055/0010110/0002902/0007328/0011997/0011004/0008632/0011867/0000480/0005743/0007611</t>
  </si>
  <si>
    <t>SANTA HELENA (8) / ITAIPULANDIA (7) / SAO MIGUEL DO IGUACU (1)</t>
  </si>
  <si>
    <t>[SAN]: SAO ROQUE (4) / CENTRO (2) / DISTRITO DE SAO ROQUE (1) / DISTRITO SAO ROQUE (1) / [ITA]: CENTRO (4) / VILA CARAMURU (1) / CENTRO (1) / PIONEIROS (1) / [SAO]: CENTRO (1)</t>
  </si>
  <si>
    <t>0009359/0003776/0009685/0007412/0004222/0000082/0011922/0008025/0002757/0009407/0008420/0002944/0010624/0010246/0002288/0003108</t>
  </si>
  <si>
    <t>Noturno</t>
  </si>
  <si>
    <t>FOZ DO IGUACU (17)</t>
  </si>
  <si>
    <t>[FOZ]: PANORAMA (2) / CARIMA (2) / CENTRO (1) / COHAPAR III (1) / JARDIM DAS LARANJEIRAS (1) / JARDIM PANORAMA (1) / JARDIM SAO PAULO II (1) / MORUMBI I (1) / PARQUE MORUMBI I (1) / PARQUE RESIDENCIAL MORUMBI II (1) / VILA BORGES (1) / CIDADE NOVA (1) / PORTES (1) / SAO ROQUE (1) / MORUMBI (1)</t>
  </si>
  <si>
    <t>0010198/0000575/0001819/0009479/0001556/0003871/0004537/0000572/0010227/0011167/0004820/0005535/0007092/0003113/0001745/0008585/0011845</t>
  </si>
  <si>
    <t>FOZ DO IGUACU (21)</t>
  </si>
  <si>
    <t>[FOZ]: CENTRO (7) / PORTES (3) / CENTRO CIVICO (2) / YOLANDA (2) / PORTO MEIRA (2) / COHAPAR II (1) / JARDIM CANADA (1) / MARACANA (1) / PANORAMA (1) / MONJOLO (1)</t>
  </si>
  <si>
    <t>0002644/0009246/0007105/0010066/0006928/0006929/0004059/0005405/0011236/0007356/0007008/0011292/0006892/0009189/0003470/0008088/0011735/0008064/0008753/0004579/0009451</t>
  </si>
  <si>
    <t>Extra</t>
  </si>
  <si>
    <t>MEDIANEIRA (13) / SERRANOPOLIS DO IGUACU (10)</t>
  </si>
  <si>
    <t>[MED]: CENTRO (5) / IPE (3) / CIDADE ALTA (2) / ALVORAVA (1) / CENTRO (1) / NAZARE (1) / [SER]: CENTRO (5) / FLOR DA SERRA (3) / JARDINOPOLIS (2)</t>
  </si>
  <si>
    <t>0002909/0008517/0007350/0007796/0007816/0008231/0001418/0010810/0007358/0004270/0002221/0007717/0009951/0007623/0009102/0011784/0004873/0011913/0008848/0001493/0007908/0011884/0009055</t>
  </si>
  <si>
    <t>MATELANDIA (13) / CEU AZUL (6) / MEDIANEIRA (4) / VERA CRUZ DO OESTE (1)</t>
  </si>
  <si>
    <t>[MAT]: CENTRO (10) / LINHA ALEGRE (1) / CENTRO (1) / VILA NOVA (1) / [CEU]: CENTRO (2) / BOA VISTA (1) / NOVA UNIAO (1) / BAIRRO UNIAO (1) / CENTRO (1) / [MED]: CENTRO (2) / BELO HORIZONTE (2) / [VER]: CENTRO (1)</t>
  </si>
  <si>
    <t>0007485/0008034/0007713/0009627/0002282/0007474/0009188/0006860/0007854/0012090/0002275/0012068/0005770/0010605/0008907/0011579/0007436/0003559/0006792/0011545/0006766/0002199/0006305/0011504</t>
  </si>
  <si>
    <t>MEDIANEIRA (13) / MISSAL (2) / SAO MIGUEL DO IGUACU (2) / SANTA TEREZINHA DE ITAIPU (1)</t>
  </si>
  <si>
    <t>[MED]: ITAIPU (3) / SAO CRISTOVAO (3) / CENTRO (2) / JARDIM IRENE (1) / AREA RURAL MEDIANEIRA (1) / AREA RURAL MARALUCIA (1) / BOM JESUS (1) / PARQUE INDEPENDENCIA (1) / [MIS]: CENTRO (1) / PORTAO DO OCOI (1) / [SAO]: CENTRO (1) / SAO JORGE (1) / [SAN]: CENTRO (1)</t>
  </si>
  <si>
    <t>0000633/0008741/0006976/0009896/0009723/0011502/0011631/0004492/0006567/0010472/0004171/0005699/0002247/0007268/0010398/0009234/0010814/0010721</t>
  </si>
  <si>
    <t>FOZ DO IGUACU (13)</t>
  </si>
  <si>
    <t>[FOZ]: CENTRO (12) / VILA YOLANDA (1)</t>
  </si>
  <si>
    <t>0005899/0010871/0010447/0001811/0003080/0003227/0009615/0007551/0007271/0010626/0008831/0006637/0008706</t>
  </si>
  <si>
    <t>MEDIANEIRA (1)</t>
  </si>
  <si>
    <t>[MED]: ITAIPU (1)</t>
  </si>
  <si>
    <t>FOZ DO IGUACU (7) / SANTA TEREZINHA DE ITAIPU (5) / MEDIANEIRA (1) / SAO MIGUEL DO IGUACU (1)</t>
  </si>
  <si>
    <t>[FOZ]: TRES LAGOAS (4) / CENTRO (1) / JARDIM AURORA (1) / TRES BANDEIRAS (1) / [SAN]: CENTRO (3) / AREA INDUSTRIAL (1) / PARQUE DOS ESTADOS (1) / [MED]: ITAIPU (1) / [SAO]: SANTA ROSA DO OCOY (1)</t>
  </si>
  <si>
    <t>0011168/0004029/0009755/0005061/0006548/0010813/0007371/0012089/0001180/0011944/0012120/0011858/0006586/0005181</t>
  </si>
  <si>
    <t>FOZ DO IGUACU (24) / SANTA TEREZINHA DE ITAIPU (1)</t>
  </si>
  <si>
    <t>[FOZ]: MORUMBI (11) / CAMPOS DO IGUACU (5) / PORTAL DA FOZ (2) / PARQUE RESIDENCIAL MORUMBI II (1) / PARQUE RESIDENCIAL MORUMBI III (1) / CENTRO CIVICO (1) / PARQUE MORUMBI II (1) / PORTAL (1) / AREA RURAL DE FOZ DO IGUACU (1) / [SAN]: CENTRO (1)</t>
  </si>
  <si>
    <t>0009378/0000302/0001680/0005985/0000381/0004909/0010850/0002236/0010373/0007097/0011920/0002300/0003464/0009159/0006722/0009571/0007454/0001925/0007656/0010557/0008145/0008828/0000501/0008851/0005550</t>
  </si>
  <si>
    <t>FOZ DO IGUACU (18)</t>
  </si>
  <si>
    <t>[FOZ]: PORTES (4) / CENTRO (2) / ITAIPU A (2) / MONJOLO (2) / JARDIM CENTRAL (1) / JARDIM JUPIRA (1) / JARDIM POLO CENTRO (1) / VILA BRASILIA (1) / VILA PORTES (1) / CENTRO CIVICO (1) / POLO CENTRO (1) / KLP (1)</t>
  </si>
  <si>
    <t>0003209/0001742/0011975/0009050/0008773/0005242/0007095/0009254/0008552/0010271/0007202/0009278/0003894/0007430/0001955/0002998/0006564/0009501</t>
  </si>
  <si>
    <t>FOZ DO IGUACU (12)</t>
  </si>
  <si>
    <t>[FOZ]: ITAIPU C (3) / CONJUNTO B (1) / VILA C NOVA (1) / JARDIM BELVEDERE I (1) / JARDIM ITAIPU (1) / PORTO BELO (1) / LANCASTER (1) / IPE (1) / KLP (1) / POLO UNIVERSITARIO (1)</t>
  </si>
  <si>
    <t>0010634/0000850/0006521/0008607/0003690/0011329/0006573/0008136/0008708/0003337/0001183/0001974</t>
  </si>
  <si>
    <t>FOZ DO IGUACU (16)</t>
  </si>
  <si>
    <t>[FOZ]: PANORAMA (5) / YOLANDA (2) / CR 1 (1) / JARDIM POLO CENTRO (1) / JARDIM SAO PAULO II (1) / LOTEAMENTO MATA VERDE (1) / MARACANA (1) / PARQUE PRESIDENTE I (1) / JD.SAO LUIS (1) / SAO ROQUE (1) / MORUMBI (1)</t>
  </si>
  <si>
    <t>0009334/0006950/0006670/0000742/0001732/0005448/0009411/0009252/0006466/0009659/0009084/0007161/0011059/0004494/0010526/0002245</t>
  </si>
  <si>
    <t>[FOZ]: VILA YOLANDA (5) / TRES FRONTEIRAS (3) / PORTO MEIRA (3) / MATA VERDE (2) / YOLANDA (2) / PARQUE OURO VERDE (1) / VILA ADRIANA (1) / BOURBON (1)</t>
  </si>
  <si>
    <t>0009649/0010432/0007837/0007143/0009839/0003195/0003482/0004137/0008922/0000406/0011850/0010956/0009030/0009997/0006749/0007851/0007128/0006165</t>
  </si>
  <si>
    <t>FOZ DO IGUACU (21) / SANTA TEREZINHA DE ITAIPU (2)</t>
  </si>
  <si>
    <t>[FOZ]: TRES LAGOAS (9) / CENTRO CIVICO (3) / CENTRO (1) / CONJUNTO RESIDENCIAL SOL DE MA (1) / JARDIM NACIONAL (1) / JARDIM SANTA RITA (1) / LOTEAMENTO RESIDENCIAL LAGOA V (1) / LOTEAMENTO WITT (1) / PARQUE PRESIDENTE II (1) / LOTEAMENTO JARDIM MADRE TEREZA (1) / LOTEAMENTO RESIDENCIAL LAGOA DOURADA (1) / [SAN]: CENTRO (1) / PARQUE DOS ESTADOS (1)</t>
  </si>
  <si>
    <t>0012146/0005641/0009500/0005069/0008725/0010933/0002016/0010869/0009996/0011316/0004719/0008082/0005245/0000465/0002107/0002177/0008595/0003027/0002603/0009916/0006737/0001044/0004988</t>
  </si>
  <si>
    <t>[FOZ]: CARIMA (10) / LOTEAMENTO MATA VERDE (1) / PARQUE PRESIDENTE (1) / VILA CARIMA (1) / JARDIM MORENITA LL (1) / IMOVEL CATARATAS - GLEBA II (1) / REMANSO GRANDE (1) / ITAIPU A (1) / YOLANDA (1) / REMANSO (1) / PORTO MEIRA (1) / SAO ROQUE (1)</t>
  </si>
  <si>
    <t>0002344/0006977/0003756/0010093/0012121/0010836/0005359/0005294/0009324/0003908/0006958/0011879/0011484/0000318/0005606/0006481/0002612/0009062/0007860/0004936/0002614</t>
  </si>
  <si>
    <t xml:space="preserve">         </t>
  </si>
  <si>
    <t>SALA 01 - MATINAL 07:00</t>
  </si>
  <si>
    <t>DATA</t>
  </si>
  <si>
    <t>MAPA</t>
  </si>
  <si>
    <t>SAIDA</t>
  </si>
  <si>
    <t>ENTRADA</t>
  </si>
  <si>
    <t xml:space="preserve">FISICO </t>
  </si>
  <si>
    <t>FINANCEIRO</t>
  </si>
  <si>
    <t>TML</t>
  </si>
  <si>
    <t>JL</t>
  </si>
  <si>
    <t>TI</t>
  </si>
  <si>
    <t>TR</t>
  </si>
  <si>
    <t>ENT</t>
  </si>
  <si>
    <t>TR PREV</t>
  </si>
  <si>
    <t xml:space="preserve">OCUP </t>
  </si>
  <si>
    <t>MOT</t>
  </si>
  <si>
    <t>Motivo (Estouro Jornada)</t>
  </si>
  <si>
    <t>Motivo (Estouro TML)</t>
  </si>
  <si>
    <t>TURNO 1 -  07:30</t>
  </si>
  <si>
    <t>CARROS</t>
  </si>
  <si>
    <t>JORNADA OK</t>
  </si>
  <si>
    <t>JORNADA %</t>
  </si>
  <si>
    <t>TURNO 2 -  08:00</t>
  </si>
  <si>
    <t>,</t>
  </si>
  <si>
    <t>TEMPO TOTAL</t>
  </si>
  <si>
    <t>SALA 02 - MATINAL 08:00</t>
  </si>
  <si>
    <t>Check Fisico</t>
  </si>
  <si>
    <t>Check Financeiro</t>
  </si>
  <si>
    <t>TML AS</t>
  </si>
  <si>
    <t>TML VESPERTINA</t>
  </si>
  <si>
    <t>TML FRETEIROS</t>
  </si>
  <si>
    <t>OCUPAÇÃO GEHOT</t>
  </si>
  <si>
    <t>ROTA</t>
  </si>
  <si>
    <t>OCUP PESO (%)</t>
  </si>
  <si>
    <t>OCUP CX (%)</t>
  </si>
  <si>
    <t>SALA 03 - MATINAL 08:00 (AS)</t>
  </si>
  <si>
    <t>INFORMAÇÕES GEHOT</t>
  </si>
  <si>
    <t>TML SPOT</t>
  </si>
  <si>
    <t>SALA 04 - MATINAL 12:00 (VESPERTINA)</t>
  </si>
  <si>
    <t>SALA 05 - MATINAL 12:00 (VESPERTINA)</t>
  </si>
  <si>
    <t>CHAMADO</t>
  </si>
  <si>
    <t>CÓD</t>
  </si>
  <si>
    <t>MOTORISTA - AJUDANTE</t>
  </si>
  <si>
    <t>FOLGA = 0</t>
  </si>
  <si>
    <t>Ainda não folgaram</t>
  </si>
  <si>
    <t xml:space="preserve">ADAIR DE ALMEIDA </t>
  </si>
  <si>
    <t>SIM</t>
  </si>
  <si>
    <t>D-0</t>
  </si>
  <si>
    <t>D-1</t>
  </si>
  <si>
    <t>D-2</t>
  </si>
  <si>
    <t>D-3</t>
  </si>
  <si>
    <t>D-4</t>
  </si>
  <si>
    <t>OSMAR ANTONIO CAMARGO</t>
  </si>
  <si>
    <t>ATESTADO</t>
  </si>
  <si>
    <t>PAULO EDSON DE OLIVEIRA</t>
  </si>
  <si>
    <t>PAULO FRANCISCO</t>
  </si>
  <si>
    <t>FALTA</t>
  </si>
  <si>
    <t>ERIVALDO UMBERTO</t>
  </si>
  <si>
    <t>MANOBRA</t>
  </si>
  <si>
    <t>SIDENEI GUERRA</t>
  </si>
  <si>
    <t>MDT</t>
  </si>
  <si>
    <t>ROBERTO ALVES MARTINS</t>
  </si>
  <si>
    <t>INTEGR</t>
  </si>
  <si>
    <t>KEBERSON PAULO TROIAN</t>
  </si>
  <si>
    <t>DEOCLIDES RODRIGUES</t>
  </si>
  <si>
    <t>MARCIO  WILLIANS DIAS</t>
  </si>
  <si>
    <t>ELSO VAZ DE OLIVEIRA</t>
  </si>
  <si>
    <t>ALAN FELIPE BARTLE</t>
  </si>
  <si>
    <t>CELIO MEDEIROS MOREIRA</t>
  </si>
  <si>
    <t>JOSIAS VIEIRA DE OLIVEIRA</t>
  </si>
  <si>
    <t xml:space="preserve">CARLOS HENRIQUE </t>
  </si>
  <si>
    <t>MAICON CARVALHO</t>
  </si>
  <si>
    <t>JOSENILSON COIMBRA DOS SANTOS</t>
  </si>
  <si>
    <t>FELIPE DE OLIVEIRA PORTO</t>
  </si>
  <si>
    <t>JEAN VITOR FERNANDES</t>
  </si>
  <si>
    <t>DOUGLAS ALVES RIBEIRO</t>
  </si>
  <si>
    <t>CRISTIANO NASCIMENTO IZE</t>
  </si>
  <si>
    <t>ALEXANDRE LOPEZ</t>
  </si>
  <si>
    <t>ANDRE APARECIDO</t>
  </si>
  <si>
    <t>GELSON OLIVEIRA</t>
  </si>
  <si>
    <t>THARLES DA SILVA BETINI</t>
  </si>
  <si>
    <t>JOSE GERALDO NEUS</t>
  </si>
  <si>
    <t>RAFAEL SANTOS</t>
  </si>
  <si>
    <t>DAVID LUCAS DE JESUS</t>
  </si>
  <si>
    <t>CARLOS EDUARDO</t>
  </si>
  <si>
    <t xml:space="preserve">JOSE MARIA GONZAGA  </t>
  </si>
  <si>
    <t>ADEMAR HORCHEL</t>
  </si>
  <si>
    <t>MARCOS DA SILVA PRADO</t>
  </si>
  <si>
    <t>ANDERSON PACIFICO</t>
  </si>
  <si>
    <t>EDSON RAUL BATISTA</t>
  </si>
  <si>
    <t>FERNADO ALVES</t>
  </si>
  <si>
    <t>MATHEUS SESARO</t>
  </si>
  <si>
    <t>GIOVANNE ALVES</t>
  </si>
  <si>
    <t>FELIPE MORAIS DE SOUZA</t>
  </si>
  <si>
    <t>EDER DE FREITAS SILVA</t>
  </si>
  <si>
    <t>ANDERSON DUARTE</t>
  </si>
  <si>
    <t>FERNANDO PORTO</t>
  </si>
  <si>
    <t>ROMARIO SANTOS</t>
  </si>
  <si>
    <t>GABRIEL MARCONDES</t>
  </si>
  <si>
    <t>EZEQUIEL LEMES</t>
  </si>
  <si>
    <t>LUCAS FARIAS</t>
  </si>
  <si>
    <t>ERICK MATHEUS</t>
  </si>
  <si>
    <t xml:space="preserve">PEDRO ROBERTO </t>
  </si>
  <si>
    <t>LUCAS SALOMÃO</t>
  </si>
  <si>
    <t>JORGE ROMERO</t>
  </si>
  <si>
    <t>FRANECIR OLIVEIRA DA SILVA</t>
  </si>
  <si>
    <t>MATHEUS NASCIMENTO</t>
  </si>
  <si>
    <t>EDUARDO EUZEBIO DOS SANTOS</t>
  </si>
  <si>
    <t>WELLINTON DO NASCIMENTO</t>
  </si>
  <si>
    <t>FABIO SILVA DE LIMA</t>
  </si>
  <si>
    <t>JIAN JORGE FRANCO</t>
  </si>
  <si>
    <t>IGOR DORIGON DA ROCHA</t>
  </si>
  <si>
    <t>GUILHERME BOURSHEIDT</t>
  </si>
  <si>
    <t>DOUGLAS MIGUEL ROMAGNA</t>
  </si>
  <si>
    <t>RECARGAS DO DIA</t>
  </si>
  <si>
    <t>Cod.</t>
  </si>
  <si>
    <t>Cod.2</t>
  </si>
  <si>
    <t>Cod.3</t>
  </si>
  <si>
    <t>Ajudante 2</t>
  </si>
  <si>
    <t>Saiu?</t>
  </si>
  <si>
    <t>MOTORISTAS</t>
  </si>
  <si>
    <t>AJUDANTES</t>
  </si>
  <si>
    <t>BANCO DE DADOS MOTORISTA E AJUDANTE</t>
  </si>
  <si>
    <t>PERFIL</t>
  </si>
  <si>
    <t>OPER.</t>
  </si>
  <si>
    <t>CHECK</t>
  </si>
  <si>
    <t>BANCO DE DADOS PLACAS FIXAS</t>
  </si>
  <si>
    <t>BANCO DE DADOS PLACAS FRETEIROS</t>
  </si>
  <si>
    <t>BANCO DE DADOS MOTORISTAS FRETEIROS</t>
  </si>
  <si>
    <t>BANCO DE DADOS REGIÕES</t>
  </si>
  <si>
    <t>NOK</t>
  </si>
  <si>
    <t>ADAIR DE ALMEIDA</t>
  </si>
  <si>
    <t>JOSE MARIA GONZAGA</t>
  </si>
  <si>
    <t>CUH3C06</t>
  </si>
  <si>
    <t>SPOT</t>
  </si>
  <si>
    <t>ADEMIR ROBSON TEIXEIRA</t>
  </si>
  <si>
    <t>EDSON RAUL BATISTA JUNIOR</t>
  </si>
  <si>
    <t>ALAN FERNANDES</t>
  </si>
  <si>
    <t>Rótulos de Linha</t>
  </si>
  <si>
    <t>LUCAS HENRIQUE FARIAS DA SILVA</t>
  </si>
  <si>
    <t>AUP6C52</t>
  </si>
  <si>
    <t>ALAN TAVARES</t>
  </si>
  <si>
    <t>PAULO FRANCISCO DA SILVA</t>
  </si>
  <si>
    <t>FCR7H56</t>
  </si>
  <si>
    <t>CLAUDEMIR CALIXTO</t>
  </si>
  <si>
    <t>ERIVALDO UMBERTO DOS SANTOS</t>
  </si>
  <si>
    <t>CLAUDEMIR DA SILVA</t>
  </si>
  <si>
    <t>WELLINTON DO NASCIMENTO STEIN</t>
  </si>
  <si>
    <t>FJO1322</t>
  </si>
  <si>
    <t>ATI6G16</t>
  </si>
  <si>
    <t>TRUCK</t>
  </si>
  <si>
    <t>CLAUDINEIS DOS SANTOS</t>
  </si>
  <si>
    <t>PORTAL</t>
  </si>
  <si>
    <t>FXZ0966</t>
  </si>
  <si>
    <t>CLEBER ASSIS</t>
  </si>
  <si>
    <t>MARACANÃ</t>
  </si>
  <si>
    <t>GDY9098</t>
  </si>
  <si>
    <t>DEOCLIDES RODRIGUES SILVA DA CRUZ</t>
  </si>
  <si>
    <t>MLE0F58</t>
  </si>
  <si>
    <t>EDILEUZA CORREIA</t>
  </si>
  <si>
    <t>DIEGO CASTRO DOS SANTOS</t>
  </si>
  <si>
    <t>ELISANGELA CORREIA DA SILVA</t>
  </si>
  <si>
    <t>RAI4127</t>
  </si>
  <si>
    <t>ALBERTO RAMON FRUTOS</t>
  </si>
  <si>
    <t>FTA6F73</t>
  </si>
  <si>
    <t>FLAVIO</t>
  </si>
  <si>
    <t>EDUARDO GABRIEL FRANCO</t>
  </si>
  <si>
    <t>ARY9E33</t>
  </si>
  <si>
    <t>GABRIEL BRITO</t>
  </si>
  <si>
    <t>RDZ9E96</t>
  </si>
  <si>
    <t>CARLOS HENRIQUE OLIVEIRA DOS SANTOS</t>
  </si>
  <si>
    <t>RODRIGO FIRMINO DE ABREU</t>
  </si>
  <si>
    <t>GBJ5D81</t>
  </si>
  <si>
    <t>JAIME LEANDRO COSTA</t>
  </si>
  <si>
    <t>ADEMAR BERGMANN TELES</t>
  </si>
  <si>
    <t>JOAO CARLOS DA CRUZ</t>
  </si>
  <si>
    <t>RLJ6G37</t>
  </si>
  <si>
    <t>JONAS ALVES DA SILVA</t>
  </si>
  <si>
    <t>GEO8C55</t>
  </si>
  <si>
    <t>VAN</t>
  </si>
  <si>
    <t>JOSE GOMES</t>
  </si>
  <si>
    <t>JEAN VITOR FERNANDES MARTENS</t>
  </si>
  <si>
    <t xml:space="preserve">WESLEY ROCHA MARQUES </t>
  </si>
  <si>
    <t>RAFAEL DE CARVALHO</t>
  </si>
  <si>
    <t>MATHEUS LEONARDO DE SESARO</t>
  </si>
  <si>
    <t xml:space="preserve">WILLIAM DOS SANTOS </t>
  </si>
  <si>
    <t>GYQ1D67</t>
  </si>
  <si>
    <t>EDIMILSON CORREA DA SILVA</t>
  </si>
  <si>
    <t>PATRICK VIEIRA DA SILVA</t>
  </si>
  <si>
    <t>GKB9192</t>
  </si>
  <si>
    <t>MJA8J77</t>
  </si>
  <si>
    <t>TARCISIO DO NASCIMENTO</t>
  </si>
  <si>
    <t>RAFAEL BATISTA DOS SANTOS</t>
  </si>
  <si>
    <t>ADRIEL EDUARDO DA SILVA FERREIRA</t>
  </si>
  <si>
    <t>MANOEL ARAUJO</t>
  </si>
  <si>
    <t>DANIEL FERNANDO MARTINS DOS SANTOS</t>
  </si>
  <si>
    <t>ELIAS ROCHA DE BRITO</t>
  </si>
  <si>
    <t>PEDRO ROBERTO VIEIRA DE SOUZA</t>
  </si>
  <si>
    <t>EDER LUCIANO JOSE VIEIRA</t>
  </si>
  <si>
    <t>QJU2138</t>
  </si>
  <si>
    <t>LEONIR DHEIN</t>
  </si>
  <si>
    <t>INDISPONÍVEL</t>
  </si>
  <si>
    <t>LUCAS DA CRUZ SALOMAO</t>
  </si>
  <si>
    <t>ANDERSON PEREIRA</t>
  </si>
  <si>
    <t>CLAUDIO DE OLIVEIRA</t>
  </si>
  <si>
    <t>JOEMIR ALVES PEREIRA</t>
  </si>
  <si>
    <t>QJU2318</t>
  </si>
  <si>
    <t>CLAYTON RODRIGO WIOMCZAK</t>
  </si>
  <si>
    <t>FERNANDO ALVES DE OLIVEIRA</t>
  </si>
  <si>
    <t>JONATHAN WILLIAM DA SILVA</t>
  </si>
  <si>
    <t>WELVIS SILVA CARNEIRO</t>
  </si>
  <si>
    <t>GIOVANI DE SOUZA ORTIZ</t>
  </si>
  <si>
    <t>KEVIN RAMON FERREIRA MARTINEZ</t>
  </si>
  <si>
    <t>MARCOS ANTONIO HENKER</t>
  </si>
  <si>
    <t>CLAUDIO PERES</t>
  </si>
  <si>
    <t>LUCAS GONÇALVES DE RAMOS</t>
  </si>
  <si>
    <t>BITRUCK</t>
  </si>
  <si>
    <t>ASCD</t>
  </si>
  <si>
    <t>ANDERSON GOMES</t>
  </si>
  <si>
    <t>LUIS FERNANDO FERREIRA</t>
  </si>
  <si>
    <t>CENIVALDO PAIVA</t>
  </si>
  <si>
    <t>ODIMAR FALEIRO</t>
  </si>
  <si>
    <t>LEONARDO MODEL</t>
  </si>
  <si>
    <t>JANDIR ALVES</t>
  </si>
  <si>
    <t xml:space="preserve">DIEGO SANTIN </t>
  </si>
  <si>
    <t>EDER LUCIANO</t>
  </si>
  <si>
    <t>JEFFERSON GOMES</t>
  </si>
  <si>
    <t>RLK0D87</t>
  </si>
  <si>
    <t>TAIRONE KAROL DA CUNHA</t>
  </si>
  <si>
    <t xml:space="preserve">VICTOR HUGO SANTOS DE PAIVA </t>
  </si>
  <si>
    <t>JOAO SOUZA DOS REIS</t>
  </si>
  <si>
    <t>DOUGLAS FERREIRA DE ALMEIDA</t>
  </si>
  <si>
    <t>VOLNEI NURNBERG</t>
  </si>
  <si>
    <t>ADRIANO APARECIDO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</si>
</sst>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mmmm\,\ yyyy"/>
    <numFmt numFmtId="166" formatCode="[h]:mm:ss;@"/>
    <numFmt numFmtId="167" formatCode="[$-F400]h:mm:ss\ AM/PM"/>
    <numFmt numFmtId="168" formatCode="0.0"/>
    <numFmt numFmtId="169" formatCode="d/m/yy;@"/>
    <numFmt numFmtId="170" formatCode="h:mm;@"/>
    <numFmt numFmtId="171" formatCode="0.0%"/>
    <numFmt numFmtId="172" formatCode="h:mm:ss;@"/>
    <numFmt numFmtId="173" formatCode="0.0000%"/>
  </numFmts>
  <fonts count="5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Calibri"/>
      <family val="2"/>
    </font>
    <font>
      <sz val="14"/>
      <color theme="1"/>
      <name val="Aptos Narrow"/>
      <family val="2"/>
      <scheme val="minor"/>
    </font>
    <font>
      <sz val="11"/>
      <name val="Calibri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20"/>
      <color theme="1"/>
      <name val="Aptos Narrow"/>
      <family val="2"/>
      <scheme val="minor"/>
    </font>
    <font>
      <b/>
      <sz val="22"/>
      <color rgb="FF00B050"/>
      <name val="Aptos Narrow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1"/>
      <color rgb="FF333333"/>
      <name val="Arial"/>
      <family val="2"/>
    </font>
    <font>
      <b/>
      <sz val="16"/>
      <color theme="1"/>
      <name val="Aptos Narrow"/>
      <family val="2"/>
      <scheme val="minor"/>
    </font>
    <font>
      <sz val="11"/>
      <color rgb="FF333333"/>
      <name val="Arial"/>
      <family val="2"/>
    </font>
    <font>
      <sz val="14"/>
      <color rgb="FFFF0000"/>
      <name val="Aptos Narrow"/>
      <family val="2"/>
      <scheme val="minor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b/>
      <sz val="11"/>
      <name val="Calibri"/>
      <family val="2"/>
    </font>
    <font>
      <b/>
      <sz val="11"/>
      <color rgb="FFFF000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name val="Calibri"/>
      <family val="2"/>
    </font>
    <font>
      <sz val="10"/>
      <name val="Aptos Narrow"/>
      <family val="2"/>
      <scheme val="minor"/>
    </font>
    <font>
      <sz val="9"/>
      <color theme="1"/>
      <name val="Calibri"/>
      <family val="2"/>
    </font>
    <font>
      <sz val="10"/>
      <color theme="1"/>
      <name val="Aptos Narrow"/>
      <family val="2"/>
      <scheme val="minor"/>
    </font>
    <font>
      <sz val="9"/>
      <name val="Arial"/>
      <family val="2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249977111117893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1"/>
      </left>
      <right/>
      <top style="thin">
        <color theme="1"/>
      </top>
      <bottom style="dashed">
        <color theme="0" tint="-0.249977111117893"/>
      </bottom>
      <diagonal/>
    </border>
    <border>
      <left/>
      <right/>
      <top style="thin">
        <color theme="1"/>
      </top>
      <bottom style="dashed">
        <color theme="0" tint="-0.249977111117893"/>
      </bottom>
      <diagonal/>
    </border>
    <border>
      <left style="dashed">
        <color theme="0" tint="-0.249977111117893"/>
      </left>
      <right/>
      <top style="thin">
        <color theme="1"/>
      </top>
      <bottom style="dashed">
        <color theme="0" tint="-0.249977111117893"/>
      </bottom>
      <diagonal/>
    </border>
    <border>
      <left style="dashed">
        <color theme="0" tint="-0.499984740745262"/>
      </left>
      <right/>
      <top/>
      <bottom style="dashed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 style="dashed">
        <color theme="0" tint="-0.499984740745262"/>
      </left>
      <right/>
      <top style="thin">
        <color indexed="64"/>
      </top>
      <bottom style="dashed">
        <color theme="0" tint="-0.499984740745262"/>
      </bottom>
      <diagonal/>
    </border>
    <border>
      <left/>
      <right/>
      <top style="thin">
        <color indexed="64"/>
      </top>
      <bottom style="dashed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45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8" fillId="0" borderId="0"/>
    <xf numFmtId="0" fontId="36" fillId="0" borderId="0" applyNumberFormat="0" applyFill="0" applyBorder="0" applyAlignment="0" applyProtection="0"/>
    <xf numFmtId="0" fontId="37" fillId="0" borderId="28" applyNumberFormat="0" applyFill="0" applyAlignment="0" applyProtection="0"/>
    <xf numFmtId="0" fontId="38" fillId="0" borderId="29" applyNumberFormat="0" applyFill="0" applyAlignment="0" applyProtection="0"/>
    <xf numFmtId="0" fontId="39" fillId="0" borderId="30" applyNumberFormat="0" applyFill="0" applyAlignment="0" applyProtection="0"/>
    <xf numFmtId="0" fontId="39" fillId="0" borderId="0" applyNumberFormat="0" applyFill="0" applyBorder="0" applyAlignment="0" applyProtection="0"/>
    <xf numFmtId="0" fontId="40" fillId="16" borderId="0" applyNumberFormat="0" applyBorder="0" applyAlignment="0" applyProtection="0"/>
    <xf numFmtId="0" fontId="41" fillId="17" borderId="0" applyNumberFormat="0" applyBorder="0" applyAlignment="0" applyProtection="0"/>
    <xf numFmtId="0" fontId="42" fillId="18" borderId="0" applyNumberFormat="0" applyBorder="0" applyAlignment="0" applyProtection="0"/>
    <xf numFmtId="0" fontId="43" fillId="19" borderId="31" applyNumberFormat="0" applyAlignment="0" applyProtection="0"/>
    <xf numFmtId="0" fontId="44" fillId="20" borderId="32" applyNumberFormat="0" applyAlignment="0" applyProtection="0"/>
    <xf numFmtId="0" fontId="45" fillId="20" borderId="31" applyNumberFormat="0" applyAlignment="0" applyProtection="0"/>
    <xf numFmtId="0" fontId="46" fillId="0" borderId="33" applyNumberFormat="0" applyFill="0" applyAlignment="0" applyProtection="0"/>
    <xf numFmtId="0" fontId="47" fillId="21" borderId="34" applyNumberFormat="0" applyAlignment="0" applyProtection="0"/>
    <xf numFmtId="0" fontId="10" fillId="0" borderId="0" applyNumberFormat="0" applyFill="0" applyBorder="0" applyAlignment="0" applyProtection="0"/>
    <xf numFmtId="0" fontId="9" fillId="22" borderId="35" applyNumberFormat="0" applyFont="0" applyAlignment="0" applyProtection="0"/>
    <xf numFmtId="0" fontId="48" fillId="0" borderId="0" applyNumberFormat="0" applyFill="0" applyBorder="0" applyAlignment="0" applyProtection="0"/>
    <xf numFmtId="0" fontId="1" fillId="0" borderId="36" applyNumberFormat="0" applyFill="0" applyAlignment="0" applyProtection="0"/>
    <xf numFmtId="0" fontId="4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4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4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49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49" fillId="39" borderId="0" applyNumberFormat="0" applyBorder="0" applyAlignment="0" applyProtection="0"/>
    <xf numFmtId="0" fontId="9" fillId="40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49" fillId="43" borderId="0" applyNumberFormat="0" applyBorder="0" applyAlignment="0" applyProtection="0"/>
    <xf numFmtId="0" fontId="9" fillId="44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</cellStyleXfs>
  <cellXfs count="3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166" fontId="0" fillId="0" borderId="0" xfId="0" applyNumberFormat="1"/>
    <xf numFmtId="167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2" borderId="0" xfId="0" applyFont="1" applyFill="1"/>
    <xf numFmtId="0" fontId="4" fillId="0" borderId="0" xfId="0" applyFont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1" fontId="7" fillId="2" borderId="0" xfId="0" applyNumberFormat="1" applyFont="1" applyFill="1"/>
    <xf numFmtId="166" fontId="4" fillId="0" borderId="0" xfId="0" applyNumberFormat="1" applyFont="1"/>
    <xf numFmtId="0" fontId="4" fillId="2" borderId="0" xfId="0" applyFont="1" applyFill="1" applyAlignment="1">
      <alignment horizontal="center"/>
    </xf>
    <xf numFmtId="20" fontId="0" fillId="0" borderId="0" xfId="0" applyNumberFormat="1"/>
    <xf numFmtId="0" fontId="0" fillId="0" borderId="0" xfId="0" quotePrefix="1"/>
    <xf numFmtId="169" fontId="0" fillId="0" borderId="0" xfId="0" applyNumberFormat="1"/>
    <xf numFmtId="167" fontId="0" fillId="2" borderId="0" xfId="0" applyNumberFormat="1" applyFill="1"/>
    <xf numFmtId="170" fontId="0" fillId="0" borderId="0" xfId="0" applyNumberFormat="1"/>
    <xf numFmtId="171" fontId="0" fillId="0" borderId="0" xfId="0" applyNumberFormat="1"/>
    <xf numFmtId="0" fontId="10" fillId="0" borderId="0" xfId="0" applyFont="1"/>
    <xf numFmtId="14" fontId="12" fillId="0" borderId="0" xfId="0" applyNumberFormat="1" applyFont="1"/>
    <xf numFmtId="169" fontId="11" fillId="3" borderId="12" xfId="0" applyNumberFormat="1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167" fontId="1" fillId="3" borderId="12" xfId="0" applyNumberFormat="1" applyFont="1" applyFill="1" applyBorder="1" applyAlignment="1">
      <alignment horizontal="center" vertical="center"/>
    </xf>
    <xf numFmtId="171" fontId="1" fillId="3" borderId="12" xfId="0" applyNumberFormat="1" applyFont="1" applyFill="1" applyBorder="1" applyAlignment="1">
      <alignment horizontal="center" vertical="center"/>
    </xf>
    <xf numFmtId="167" fontId="1" fillId="3" borderId="12" xfId="0" applyNumberFormat="1" applyFont="1" applyFill="1" applyBorder="1" applyAlignment="1">
      <alignment horizontal="center" vertical="center" wrapText="1"/>
    </xf>
    <xf numFmtId="167" fontId="1" fillId="3" borderId="0" xfId="0" applyNumberFormat="1" applyFont="1" applyFill="1" applyAlignment="1">
      <alignment horizontal="center" vertical="center"/>
    </xf>
    <xf numFmtId="171" fontId="1" fillId="0" borderId="0" xfId="0" applyNumberFormat="1" applyFont="1" applyAlignment="1">
      <alignment horizontal="center" vertical="center"/>
    </xf>
    <xf numFmtId="14" fontId="7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/>
    </xf>
    <xf numFmtId="167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8" fontId="2" fillId="0" borderId="1" xfId="0" applyNumberFormat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14" fillId="0" borderId="1" xfId="0" applyFont="1" applyBorder="1"/>
    <xf numFmtId="1" fontId="15" fillId="0" borderId="0" xfId="0" applyNumberFormat="1" applyFont="1" applyAlignment="1">
      <alignment horizontal="center"/>
    </xf>
    <xf numFmtId="1" fontId="0" fillId="0" borderId="0" xfId="0" applyNumberFormat="1"/>
    <xf numFmtId="171" fontId="1" fillId="3" borderId="1" xfId="0" applyNumberFormat="1" applyFont="1" applyFill="1" applyBorder="1" applyAlignment="1">
      <alignment horizontal="center" vertical="center" wrapText="1"/>
    </xf>
    <xf numFmtId="171" fontId="1" fillId="0" borderId="0" xfId="2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wrapText="1"/>
    </xf>
    <xf numFmtId="14" fontId="4" fillId="0" borderId="1" xfId="0" applyNumberFormat="1" applyFont="1" applyBorder="1" applyAlignment="1">
      <alignment horizontal="center"/>
    </xf>
    <xf numFmtId="0" fontId="19" fillId="0" borderId="1" xfId="3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0" fontId="20" fillId="0" borderId="1" xfId="2" applyNumberFormat="1" applyFont="1" applyFill="1" applyBorder="1"/>
    <xf numFmtId="0" fontId="18" fillId="0" borderId="1" xfId="0" applyFont="1" applyBorder="1"/>
    <xf numFmtId="0" fontId="22" fillId="0" borderId="1" xfId="0" applyFont="1" applyBorder="1"/>
    <xf numFmtId="9" fontId="23" fillId="0" borderId="0" xfId="2" applyFont="1"/>
    <xf numFmtId="167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171" fontId="1" fillId="0" borderId="0" xfId="0" applyNumberFormat="1" applyFont="1" applyAlignment="1">
      <alignment horizontal="center"/>
    </xf>
    <xf numFmtId="0" fontId="24" fillId="0" borderId="0" xfId="0" applyFont="1"/>
    <xf numFmtId="9" fontId="0" fillId="0" borderId="0" xfId="2" applyFont="1"/>
    <xf numFmtId="169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25" fillId="0" borderId="0" xfId="0" applyFont="1"/>
    <xf numFmtId="9" fontId="0" fillId="0" borderId="0" xfId="2" applyFont="1" applyFill="1"/>
    <xf numFmtId="169" fontId="26" fillId="3" borderId="12" xfId="0" applyNumberFormat="1" applyFont="1" applyFill="1" applyBorder="1" applyAlignment="1">
      <alignment horizontal="center" vertical="center"/>
    </xf>
    <xf numFmtId="9" fontId="10" fillId="0" borderId="0" xfId="0" applyNumberFormat="1" applyFont="1"/>
    <xf numFmtId="14" fontId="7" fillId="0" borderId="13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67" fontId="0" fillId="0" borderId="0" xfId="2" applyNumberFormat="1" applyFont="1"/>
    <xf numFmtId="0" fontId="2" fillId="0" borderId="0" xfId="0" applyFont="1"/>
    <xf numFmtId="0" fontId="27" fillId="0" borderId="0" xfId="0" applyFont="1"/>
    <xf numFmtId="0" fontId="19" fillId="0" borderId="1" xfId="0" applyFont="1" applyBorder="1" applyAlignment="1">
      <alignment horizontal="center" vertical="center"/>
    </xf>
    <xf numFmtId="3" fontId="4" fillId="0" borderId="14" xfId="0" applyNumberFormat="1" applyFont="1" applyBorder="1" applyAlignment="1">
      <alignment horizontal="center"/>
    </xf>
    <xf numFmtId="169" fontId="13" fillId="0" borderId="0" xfId="3" applyNumberFormat="1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14" fontId="7" fillId="0" borderId="16" xfId="0" applyNumberFormat="1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3" fontId="7" fillId="0" borderId="17" xfId="0" applyNumberFormat="1" applyFont="1" applyBorder="1" applyAlignment="1">
      <alignment horizontal="center"/>
    </xf>
    <xf numFmtId="14" fontId="7" fillId="0" borderId="18" xfId="0" applyNumberFormat="1" applyFont="1" applyBorder="1" applyAlignment="1">
      <alignment horizontal="center"/>
    </xf>
    <xf numFmtId="0" fontId="4" fillId="0" borderId="17" xfId="3" applyFont="1" applyBorder="1" applyAlignment="1">
      <alignment horizontal="center"/>
    </xf>
    <xf numFmtId="3" fontId="4" fillId="0" borderId="17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 vertical="center"/>
    </xf>
    <xf numFmtId="0" fontId="28" fillId="0" borderId="0" xfId="0" applyFont="1" applyAlignment="1">
      <alignment horizontal="center"/>
    </xf>
    <xf numFmtId="171" fontId="28" fillId="0" borderId="0" xfId="0" applyNumberFormat="1" applyFont="1" applyAlignment="1">
      <alignment horizontal="center"/>
    </xf>
    <xf numFmtId="164" fontId="2" fillId="0" borderId="1" xfId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20" fontId="0" fillId="2" borderId="0" xfId="0" applyNumberFormat="1" applyFill="1"/>
    <xf numFmtId="167" fontId="2" fillId="0" borderId="1" xfId="0" quotePrefix="1" applyNumberFormat="1" applyFont="1" applyBorder="1" applyAlignment="1">
      <alignment horizontal="center" vertical="center"/>
    </xf>
    <xf numFmtId="0" fontId="0" fillId="6" borderId="1" xfId="0" applyFill="1" applyBorder="1"/>
    <xf numFmtId="0" fontId="1" fillId="8" borderId="1" xfId="0" applyFont="1" applyFill="1" applyBorder="1"/>
    <xf numFmtId="0" fontId="29" fillId="8" borderId="1" xfId="0" applyFont="1" applyFill="1" applyBorder="1"/>
    <xf numFmtId="16" fontId="1" fillId="8" borderId="1" xfId="0" applyNumberFormat="1" applyFont="1" applyFill="1" applyBorder="1"/>
    <xf numFmtId="0" fontId="1" fillId="9" borderId="1" xfId="0" applyFont="1" applyFill="1" applyBorder="1"/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26" fillId="0" borderId="1" xfId="0" applyFont="1" applyBorder="1"/>
    <xf numFmtId="0" fontId="0" fillId="0" borderId="24" xfId="0" applyBorder="1"/>
    <xf numFmtId="0" fontId="0" fillId="0" borderId="26" xfId="0" applyBorder="1"/>
    <xf numFmtId="0" fontId="1" fillId="10" borderId="2" xfId="0" applyFont="1" applyFill="1" applyBorder="1"/>
    <xf numFmtId="0" fontId="1" fillId="11" borderId="1" xfId="0" applyFont="1" applyFill="1" applyBorder="1"/>
    <xf numFmtId="0" fontId="1" fillId="12" borderId="1" xfId="0" applyFont="1" applyFill="1" applyBorder="1"/>
    <xf numFmtId="0" fontId="1" fillId="13" borderId="1" xfId="0" applyFont="1" applyFill="1" applyBorder="1"/>
    <xf numFmtId="0" fontId="1" fillId="7" borderId="1" xfId="0" applyFont="1" applyFill="1" applyBorder="1"/>
    <xf numFmtId="0" fontId="0" fillId="9" borderId="1" xfId="0" applyFill="1" applyBorder="1"/>
    <xf numFmtId="0" fontId="30" fillId="0" borderId="1" xfId="0" applyFont="1" applyBorder="1" applyAlignment="1">
      <alignment horizontal="center"/>
    </xf>
    <xf numFmtId="0" fontId="31" fillId="0" borderId="1" xfId="0" applyFont="1" applyBorder="1"/>
    <xf numFmtId="0" fontId="0" fillId="10" borderId="2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vertical="center"/>
    </xf>
    <xf numFmtId="0" fontId="30" fillId="0" borderId="8" xfId="0" applyFont="1" applyBorder="1" applyAlignment="1">
      <alignment horizontal="center"/>
    </xf>
    <xf numFmtId="0" fontId="31" fillId="0" borderId="8" xfId="0" applyFont="1" applyBorder="1"/>
    <xf numFmtId="0" fontId="26" fillId="0" borderId="8" xfId="0" applyFont="1" applyBorder="1"/>
    <xf numFmtId="0" fontId="30" fillId="0" borderId="8" xfId="0" applyFont="1" applyBorder="1" applyAlignment="1">
      <alignment horizontal="center" vertical="center"/>
    </xf>
    <xf numFmtId="0" fontId="31" fillId="0" borderId="8" xfId="0" applyFont="1" applyBorder="1" applyAlignment="1">
      <alignment vertical="center"/>
    </xf>
    <xf numFmtId="0" fontId="32" fillId="14" borderId="9" xfId="0" applyFont="1" applyFill="1" applyBorder="1" applyAlignment="1">
      <alignment horizontal="center" vertical="center"/>
    </xf>
    <xf numFmtId="0" fontId="33" fillId="14" borderId="11" xfId="0" applyFont="1" applyFill="1" applyBorder="1" applyAlignment="1">
      <alignment vertical="center"/>
    </xf>
    <xf numFmtId="0" fontId="13" fillId="14" borderId="11" xfId="0" applyFont="1" applyFill="1" applyBorder="1"/>
    <xf numFmtId="0" fontId="32" fillId="14" borderId="25" xfId="0" applyFont="1" applyFill="1" applyBorder="1" applyAlignment="1">
      <alignment horizontal="center" vertical="center"/>
    </xf>
    <xf numFmtId="0" fontId="33" fillId="14" borderId="23" xfId="0" applyFont="1" applyFill="1" applyBorder="1" applyAlignment="1">
      <alignment vertical="center"/>
    </xf>
    <xf numFmtId="0" fontId="13" fillId="14" borderId="23" xfId="0" applyFont="1" applyFill="1" applyBorder="1"/>
    <xf numFmtId="0" fontId="30" fillId="0" borderId="27" xfId="0" applyFont="1" applyBorder="1" applyAlignment="1">
      <alignment horizontal="center" vertical="center"/>
    </xf>
    <xf numFmtId="0" fontId="26" fillId="0" borderId="5" xfId="0" applyFont="1" applyBorder="1"/>
    <xf numFmtId="0" fontId="13" fillId="0" borderId="5" xfId="0" applyFont="1" applyBorder="1"/>
    <xf numFmtId="0" fontId="0" fillId="0" borderId="2" xfId="0" applyBorder="1"/>
    <xf numFmtId="0" fontId="31" fillId="0" borderId="2" xfId="0" applyFont="1" applyBorder="1" applyAlignment="1">
      <alignment vertical="center"/>
    </xf>
    <xf numFmtId="0" fontId="13" fillId="0" borderId="27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1" fillId="0" borderId="2" xfId="0" applyFont="1" applyBorder="1"/>
    <xf numFmtId="0" fontId="33" fillId="0" borderId="2" xfId="0" applyFont="1" applyBorder="1"/>
    <xf numFmtId="0" fontId="32" fillId="0" borderId="27" xfId="0" applyFont="1" applyBorder="1" applyAlignment="1">
      <alignment horizontal="center" vertical="center"/>
    </xf>
    <xf numFmtId="0" fontId="33" fillId="0" borderId="2" xfId="0" applyFont="1" applyBorder="1" applyAlignment="1">
      <alignment vertical="center"/>
    </xf>
    <xf numFmtId="0" fontId="31" fillId="0" borderId="2" xfId="0" applyFont="1" applyBorder="1" applyAlignment="1">
      <alignment horizontal="left"/>
    </xf>
    <xf numFmtId="0" fontId="33" fillId="0" borderId="4" xfId="0" applyFont="1" applyBorder="1" applyAlignment="1">
      <alignment vertical="center"/>
    </xf>
    <xf numFmtId="0" fontId="30" fillId="0" borderId="5" xfId="0" applyFont="1" applyBorder="1" applyAlignment="1">
      <alignment horizontal="center" vertical="center"/>
    </xf>
    <xf numFmtId="0" fontId="33" fillId="0" borderId="27" xfId="0" applyFont="1" applyBorder="1"/>
    <xf numFmtId="0" fontId="31" fillId="0" borderId="27" xfId="0" applyFont="1" applyBorder="1" applyAlignment="1">
      <alignment vertical="center"/>
    </xf>
    <xf numFmtId="0" fontId="26" fillId="0" borderId="27" xfId="0" applyFont="1" applyBorder="1"/>
    <xf numFmtId="0" fontId="31" fillId="0" borderId="27" xfId="0" applyFont="1" applyBorder="1"/>
    <xf numFmtId="0" fontId="1" fillId="0" borderId="27" xfId="0" applyFont="1" applyBorder="1"/>
    <xf numFmtId="0" fontId="1" fillId="0" borderId="1" xfId="0" applyFont="1" applyBorder="1"/>
    <xf numFmtId="0" fontId="33" fillId="0" borderId="0" xfId="0" applyFont="1"/>
    <xf numFmtId="0" fontId="13" fillId="0" borderId="2" xfId="0" applyFont="1" applyBorder="1"/>
    <xf numFmtId="0" fontId="13" fillId="0" borderId="1" xfId="0" applyFont="1" applyBorder="1"/>
    <xf numFmtId="0" fontId="1" fillId="0" borderId="2" xfId="0" applyFont="1" applyBorder="1"/>
    <xf numFmtId="0" fontId="0" fillId="15" borderId="1" xfId="0" applyFill="1" applyBorder="1"/>
    <xf numFmtId="0" fontId="13" fillId="15" borderId="5" xfId="0" applyFont="1" applyFill="1" applyBorder="1"/>
    <xf numFmtId="0" fontId="31" fillId="0" borderId="0" xfId="0" applyFont="1" applyAlignment="1">
      <alignment vertical="center"/>
    </xf>
    <xf numFmtId="0" fontId="1" fillId="8" borderId="0" xfId="0" applyFont="1" applyFill="1"/>
    <xf numFmtId="14" fontId="1" fillId="8" borderId="0" xfId="0" applyNumberFormat="1" applyFont="1" applyFill="1"/>
    <xf numFmtId="0" fontId="1" fillId="8" borderId="1" xfId="0" applyFont="1" applyFill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3" fillId="0" borderId="2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/>
    <xf numFmtId="0" fontId="0" fillId="9" borderId="0" xfId="0" applyFill="1"/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2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3" borderId="1" xfId="0" applyFont="1" applyFill="1" applyBorder="1"/>
    <xf numFmtId="0" fontId="3" fillId="3" borderId="37" xfId="0" applyFont="1" applyFill="1" applyBorder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47" borderId="0" xfId="0" applyFill="1"/>
    <xf numFmtId="0" fontId="6" fillId="47" borderId="0" xfId="0" applyFont="1" applyFill="1"/>
    <xf numFmtId="0" fontId="4" fillId="47" borderId="0" xfId="0" applyFont="1" applyFill="1"/>
    <xf numFmtId="0" fontId="4" fillId="47" borderId="0" xfId="0" applyFont="1" applyFill="1" applyAlignment="1">
      <alignment horizontal="center"/>
    </xf>
    <xf numFmtId="14" fontId="7" fillId="47" borderId="0" xfId="0" applyNumberFormat="1" applyFont="1" applyFill="1" applyAlignment="1">
      <alignment horizontal="center"/>
    </xf>
    <xf numFmtId="0" fontId="7" fillId="47" borderId="0" xfId="0" applyFont="1" applyFill="1" applyAlignment="1">
      <alignment horizontal="center"/>
    </xf>
    <xf numFmtId="168" fontId="4" fillId="47" borderId="0" xfId="0" applyNumberFormat="1" applyFont="1" applyFill="1" applyAlignment="1">
      <alignment horizontal="center"/>
    </xf>
    <xf numFmtId="166" fontId="4" fillId="47" borderId="0" xfId="0" applyNumberFormat="1" applyFont="1" applyFill="1" applyAlignment="1">
      <alignment horizontal="center"/>
    </xf>
    <xf numFmtId="14" fontId="4" fillId="47" borderId="0" xfId="0" applyNumberFormat="1" applyFont="1" applyFill="1" applyAlignment="1">
      <alignment horizontal="center"/>
    </xf>
    <xf numFmtId="14" fontId="0" fillId="47" borderId="0" xfId="0" applyNumberFormat="1" applyFill="1" applyAlignment="1">
      <alignment horizontal="center"/>
    </xf>
    <xf numFmtId="0" fontId="0" fillId="47" borderId="0" xfId="0" applyFill="1" applyAlignment="1">
      <alignment horizontal="center"/>
    </xf>
    <xf numFmtId="0" fontId="7" fillId="47" borderId="0" xfId="0" applyFont="1" applyFill="1"/>
    <xf numFmtId="168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7" fillId="0" borderId="0" xfId="0" applyFont="1"/>
    <xf numFmtId="10" fontId="4" fillId="0" borderId="0" xfId="0" applyNumberFormat="1" applyFont="1" applyAlignment="1">
      <alignment horizontal="center"/>
    </xf>
    <xf numFmtId="10" fontId="4" fillId="0" borderId="0" xfId="2" applyNumberFormat="1" applyFont="1" applyFill="1" applyAlignment="1">
      <alignment horizontal="center"/>
    </xf>
    <xf numFmtId="173" fontId="4" fillId="0" borderId="0" xfId="0" applyNumberFormat="1" applyFont="1" applyAlignment="1">
      <alignment horizontal="center"/>
    </xf>
    <xf numFmtId="0" fontId="6" fillId="47" borderId="0" xfId="0" applyFont="1" applyFill="1" applyAlignment="1">
      <alignment horizontal="right"/>
    </xf>
    <xf numFmtId="165" fontId="6" fillId="47" borderId="0" xfId="0" applyNumberFormat="1" applyFont="1" applyFill="1"/>
    <xf numFmtId="165" fontId="6" fillId="47" borderId="0" xfId="0" applyNumberFormat="1" applyFont="1" applyFill="1" applyAlignment="1">
      <alignment horizontal="left"/>
    </xf>
    <xf numFmtId="165" fontId="1" fillId="47" borderId="0" xfId="0" applyNumberFormat="1" applyFont="1" applyFill="1"/>
    <xf numFmtId="0" fontId="1" fillId="47" borderId="0" xfId="0" applyFont="1" applyFill="1"/>
    <xf numFmtId="0" fontId="0" fillId="47" borderId="1" xfId="0" applyFill="1" applyBorder="1"/>
    <xf numFmtId="0" fontId="0" fillId="47" borderId="0" xfId="0" quotePrefix="1" applyFill="1"/>
    <xf numFmtId="0" fontId="1" fillId="47" borderId="0" xfId="0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2" fillId="0" borderId="2" xfId="0" applyFont="1" applyBorder="1" applyAlignment="1">
      <alignment horizontal="center"/>
    </xf>
    <xf numFmtId="0" fontId="0" fillId="0" borderId="3" xfId="0" applyBorder="1"/>
    <xf numFmtId="0" fontId="0" fillId="0" borderId="9" xfId="0" applyBorder="1" applyAlignment="1">
      <alignment horizontal="center"/>
    </xf>
    <xf numFmtId="16" fontId="0" fillId="0" borderId="0" xfId="0" applyNumberFormat="1" applyAlignment="1">
      <alignment horizontal="center"/>
    </xf>
    <xf numFmtId="16" fontId="1" fillId="0" borderId="0" xfId="0" applyNumberFormat="1" applyFont="1" applyAlignment="1">
      <alignment horizontal="center"/>
    </xf>
    <xf numFmtId="0" fontId="0" fillId="0" borderId="38" xfId="0" applyBorder="1" applyAlignment="1">
      <alignment horizontal="center"/>
    </xf>
    <xf numFmtId="0" fontId="0" fillId="0" borderId="37" xfId="0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37" xfId="0" applyFill="1" applyBorder="1"/>
    <xf numFmtId="1" fontId="2" fillId="47" borderId="0" xfId="0" applyNumberFormat="1" applyFont="1" applyFill="1"/>
    <xf numFmtId="1" fontId="0" fillId="47" borderId="0" xfId="0" applyNumberFormat="1" applyFill="1"/>
    <xf numFmtId="0" fontId="2" fillId="0" borderId="0" xfId="0" applyFont="1" applyAlignment="1">
      <alignment horizontal="center"/>
    </xf>
    <xf numFmtId="0" fontId="0" fillId="11" borderId="0" xfId="0" applyFill="1"/>
    <xf numFmtId="0" fontId="0" fillId="49" borderId="0" xfId="0" applyFill="1"/>
    <xf numFmtId="0" fontId="0" fillId="13" borderId="0" xfId="0" applyFill="1"/>
    <xf numFmtId="0" fontId="0" fillId="50" borderId="0" xfId="0" applyFill="1"/>
    <xf numFmtId="0" fontId="0" fillId="51" borderId="0" xfId="0" applyFill="1"/>
    <xf numFmtId="0" fontId="0" fillId="51" borderId="10" xfId="0" applyFill="1" applyBorder="1"/>
    <xf numFmtId="0" fontId="0" fillId="48" borderId="0" xfId="0" applyFill="1"/>
    <xf numFmtId="0" fontId="0" fillId="52" borderId="0" xfId="0" applyFill="1"/>
    <xf numFmtId="0" fontId="0" fillId="12" borderId="0" xfId="0" applyFill="1"/>
    <xf numFmtId="0" fontId="0" fillId="53" borderId="0" xfId="0" applyFill="1"/>
    <xf numFmtId="0" fontId="0" fillId="54" borderId="0" xfId="0" applyFill="1"/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168" fontId="7" fillId="0" borderId="0" xfId="0" applyNumberFormat="1" applyFont="1" applyAlignment="1">
      <alignment horizontal="center"/>
    </xf>
    <xf numFmtId="166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10" fontId="4" fillId="0" borderId="0" xfId="2" applyNumberFormat="1" applyFont="1" applyAlignment="1">
      <alignment horizontal="center"/>
    </xf>
    <xf numFmtId="1" fontId="0" fillId="2" borderId="0" xfId="0" applyNumberFormat="1" applyFill="1"/>
    <xf numFmtId="0" fontId="0" fillId="47" borderId="0" xfId="0" applyFill="1" applyAlignment="1">
      <alignment horizontal="left"/>
    </xf>
    <xf numFmtId="0" fontId="4" fillId="0" borderId="0" xfId="0" applyFont="1" applyAlignment="1">
      <alignment horizontal="left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55" borderId="0" xfId="0" applyFill="1"/>
    <xf numFmtId="46" fontId="0" fillId="0" borderId="0" xfId="0" applyNumberFormat="1"/>
    <xf numFmtId="1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47" borderId="0" xfId="0" applyFont="1" applyFill="1"/>
    <xf numFmtId="0" fontId="2" fillId="0" borderId="1" xfId="0" applyFont="1" applyFill="1" applyBorder="1" applyAlignment="1">
      <alignment horizontal="center"/>
    </xf>
    <xf numFmtId="0" fontId="2" fillId="0" borderId="1" xfId="0" applyFont="1" applyFill="1" applyBorder="1"/>
    <xf numFmtId="0" fontId="0" fillId="0" borderId="1" xfId="0" applyFont="1" applyBorder="1"/>
    <xf numFmtId="0" fontId="5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0" fontId="0" fillId="0" borderId="2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2" fillId="0" borderId="8" xfId="0" applyFont="1" applyFill="1" applyBorder="1"/>
    <xf numFmtId="0" fontId="0" fillId="0" borderId="4" xfId="0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51" fillId="0" borderId="1" xfId="0" applyFont="1" applyFill="1" applyBorder="1"/>
    <xf numFmtId="0" fontId="0" fillId="2" borderId="2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48" borderId="1" xfId="0" applyFont="1" applyFill="1" applyBorder="1" applyAlignment="1">
      <alignment horizontal="center"/>
    </xf>
    <xf numFmtId="0" fontId="52" fillId="0" borderId="0" xfId="0" applyFont="1" applyFill="1" applyBorder="1" applyAlignment="1"/>
    <xf numFmtId="14" fontId="52" fillId="0" borderId="0" xfId="0" applyNumberFormat="1" applyFont="1" applyFill="1" applyBorder="1" applyAlignment="1"/>
    <xf numFmtId="21" fontId="52" fillId="0" borderId="0" xfId="0" applyNumberFormat="1" applyFont="1" applyFill="1" applyBorder="1" applyAlignment="1"/>
    <xf numFmtId="20" fontId="52" fillId="0" borderId="0" xfId="0" applyNumberFormat="1" applyFont="1" applyFill="1" applyBorder="1" applyAlignment="1"/>
    <xf numFmtId="46" fontId="52" fillId="0" borderId="0" xfId="0" applyNumberFormat="1" applyFont="1" applyFill="1" applyBorder="1" applyAlignment="1"/>
    <xf numFmtId="0" fontId="52" fillId="0" borderId="0" xfId="0" applyFont="1" applyFill="1" applyAlignment="1"/>
    <xf numFmtId="0" fontId="2" fillId="2" borderId="1" xfId="0" applyFont="1" applyFill="1" applyBorder="1"/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71" fontId="1" fillId="3" borderId="1" xfId="0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6" fontId="1" fillId="8" borderId="1" xfId="0" applyNumberFormat="1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27" fillId="13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23" xfId="0" applyFill="1" applyBorder="1" applyAlignment="1">
      <alignment horizontal="left"/>
    </xf>
    <xf numFmtId="0" fontId="0" fillId="2" borderId="24" xfId="0" applyFill="1" applyBorder="1" applyAlignment="1">
      <alignment horizontal="left"/>
    </xf>
    <xf numFmtId="0" fontId="3" fillId="3" borderId="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" fontId="0" fillId="0" borderId="41" xfId="0" applyNumberFormat="1" applyBorder="1" applyAlignment="1">
      <alignment horizontal="center"/>
    </xf>
    <xf numFmtId="16" fontId="0" fillId="0" borderId="42" xfId="0" applyNumberFormat="1" applyBorder="1" applyAlignment="1">
      <alignment horizontal="center"/>
    </xf>
    <xf numFmtId="0" fontId="3" fillId="3" borderId="43" xfId="0" applyFont="1" applyFill="1" applyBorder="1" applyAlignment="1">
      <alignment horizontal="center"/>
    </xf>
    <xf numFmtId="0" fontId="3" fillId="3" borderId="40" xfId="0" applyFont="1" applyFill="1" applyBorder="1" applyAlignment="1">
      <alignment horizontal="center"/>
    </xf>
    <xf numFmtId="16" fontId="0" fillId="0" borderId="44" xfId="0" applyNumberFormat="1" applyBorder="1" applyAlignment="1">
      <alignment horizontal="center"/>
    </xf>
    <xf numFmtId="16" fontId="0" fillId="3" borderId="44" xfId="0" applyNumberFormat="1" applyFill="1" applyBorder="1" applyAlignment="1">
      <alignment horizontal="center"/>
    </xf>
    <xf numFmtId="16" fontId="0" fillId="3" borderId="42" xfId="0" applyNumberFormat="1" applyFill="1" applyBorder="1" applyAlignment="1">
      <alignment horizontal="center"/>
    </xf>
    <xf numFmtId="0" fontId="3" fillId="3" borderId="39" xfId="0" applyFont="1" applyFill="1" applyBorder="1" applyAlignment="1">
      <alignment horizontal="center"/>
    </xf>
    <xf numFmtId="16" fontId="0" fillId="3" borderId="41" xfId="0" applyNumberFormat="1" applyFill="1" applyBorder="1" applyAlignment="1">
      <alignment horizontal="center"/>
    </xf>
    <xf numFmtId="14" fontId="6" fillId="47" borderId="0" xfId="0" applyNumberFormat="1" applyFont="1" applyFill="1" applyAlignment="1">
      <alignment horizontal="right"/>
    </xf>
    <xf numFmtId="0" fontId="5" fillId="47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11" fillId="4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9" fontId="5" fillId="0" borderId="1" xfId="2" applyFont="1" applyBorder="1" applyAlignment="1">
      <alignment horizontal="center"/>
    </xf>
    <xf numFmtId="167" fontId="16" fillId="5" borderId="1" xfId="1" applyNumberFormat="1" applyFont="1" applyFill="1" applyBorder="1" applyAlignment="1">
      <alignment horizontal="center" vertical="center"/>
    </xf>
    <xf numFmtId="167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1" fontId="1" fillId="2" borderId="1" xfId="2" applyNumberFormat="1" applyFont="1" applyFill="1" applyBorder="1" applyAlignment="1">
      <alignment horizontal="center" vertical="center"/>
    </xf>
    <xf numFmtId="171" fontId="17" fillId="2" borderId="1" xfId="2" applyNumberFormat="1" applyFont="1" applyFill="1" applyBorder="1" applyAlignment="1">
      <alignment horizontal="center" vertical="center"/>
    </xf>
    <xf numFmtId="1" fontId="17" fillId="2" borderId="1" xfId="2" applyNumberFormat="1" applyFont="1" applyFill="1" applyBorder="1" applyAlignment="1">
      <alignment horizontal="center" vertical="center"/>
    </xf>
    <xf numFmtId="1" fontId="21" fillId="2" borderId="1" xfId="2" applyNumberFormat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0" fontId="11" fillId="4" borderId="21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167" fontId="1" fillId="2" borderId="8" xfId="0" applyNumberFormat="1" applyFont="1" applyFill="1" applyBorder="1" applyAlignment="1">
      <alignment horizontal="center" vertical="center"/>
    </xf>
    <xf numFmtId="167" fontId="1" fillId="2" borderId="5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71" fontId="1" fillId="2" borderId="8" xfId="2" applyNumberFormat="1" applyFont="1" applyFill="1" applyBorder="1" applyAlignment="1">
      <alignment horizontal="center" vertical="center"/>
    </xf>
    <xf numFmtId="171" fontId="1" fillId="2" borderId="5" xfId="2" applyNumberFormat="1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171" fontId="1" fillId="3" borderId="9" xfId="0" applyNumberFormat="1" applyFont="1" applyFill="1" applyBorder="1" applyAlignment="1">
      <alignment horizontal="center" vertical="center"/>
    </xf>
    <xf numFmtId="171" fontId="1" fillId="3" borderId="11" xfId="0" applyNumberFormat="1" applyFont="1" applyFill="1" applyBorder="1" applyAlignment="1">
      <alignment horizontal="center" vertical="center"/>
    </xf>
    <xf numFmtId="171" fontId="1" fillId="3" borderId="7" xfId="0" applyNumberFormat="1" applyFont="1" applyFill="1" applyBorder="1" applyAlignment="1">
      <alignment horizontal="center" vertical="center"/>
    </xf>
    <xf numFmtId="171" fontId="1" fillId="3" borderId="6" xfId="0" applyNumberFormat="1" applyFont="1" applyFill="1" applyBorder="1" applyAlignment="1">
      <alignment horizontal="center" vertical="center"/>
    </xf>
    <xf numFmtId="171" fontId="1" fillId="3" borderId="23" xfId="0" applyNumberFormat="1" applyFont="1" applyFill="1" applyBorder="1" applyAlignment="1">
      <alignment horizontal="center" vertical="center"/>
    </xf>
    <xf numFmtId="171" fontId="1" fillId="3" borderId="4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" fontId="1" fillId="8" borderId="1" xfId="0" applyNumberFormat="1" applyFont="1" applyFill="1" applyBorder="1" applyAlignment="1">
      <alignment horizontal="center"/>
    </xf>
    <xf numFmtId="0" fontId="50" fillId="49" borderId="0" xfId="0" applyFont="1" applyFill="1" applyAlignment="1">
      <alignment horizontal="center" vertical="center" textRotation="180"/>
    </xf>
    <xf numFmtId="0" fontId="50" fillId="48" borderId="0" xfId="0" applyFont="1" applyFill="1" applyAlignment="1">
      <alignment horizontal="center" vertical="center" textRotation="180"/>
    </xf>
    <xf numFmtId="0" fontId="50" fillId="50" borderId="0" xfId="0" applyFont="1" applyFill="1" applyAlignment="1">
      <alignment horizontal="center" vertical="center" textRotation="180"/>
    </xf>
    <xf numFmtId="0" fontId="50" fillId="52" borderId="0" xfId="0" applyFont="1" applyFill="1" applyAlignment="1">
      <alignment horizontal="center" vertical="center" textRotation="180"/>
    </xf>
    <xf numFmtId="0" fontId="50" fillId="53" borderId="0" xfId="0" applyFont="1" applyFill="1" applyAlignment="1">
      <alignment horizontal="center" vertical="center" textRotation="180"/>
    </xf>
    <xf numFmtId="0" fontId="7" fillId="0" borderId="0" xfId="0" applyFont="1" applyFill="1" applyAlignment="1">
      <alignment horizontal="center"/>
    </xf>
  </cellXfs>
  <cellStyles count="45">
    <cellStyle name="20% - Ênfase1" xfId="22" builtinId="30" customBuiltin="1"/>
    <cellStyle name="20% - Ênfase2" xfId="26" builtinId="34" customBuiltin="1"/>
    <cellStyle name="20% - Ênfase3" xfId="30" builtinId="38" customBuiltin="1"/>
    <cellStyle name="20% - Ênfase4" xfId="34" builtinId="42" customBuiltin="1"/>
    <cellStyle name="20% - Ênfase5" xfId="38" builtinId="46" customBuiltin="1"/>
    <cellStyle name="20% - Ênfase6" xfId="42" builtinId="50" customBuiltin="1"/>
    <cellStyle name="40% - Ênfase1" xfId="23" builtinId="31" customBuiltin="1"/>
    <cellStyle name="40% - Ênfase2" xfId="27" builtinId="35" customBuiltin="1"/>
    <cellStyle name="40% - Ênfase3" xfId="31" builtinId="39" customBuiltin="1"/>
    <cellStyle name="40% - Ênfase4" xfId="35" builtinId="43" customBuiltin="1"/>
    <cellStyle name="40% - Ênfase5" xfId="39" builtinId="47" customBuiltin="1"/>
    <cellStyle name="40% - Ênfase6" xfId="43" builtinId="51" customBuiltin="1"/>
    <cellStyle name="60% - Ênfase1" xfId="24" builtinId="32" customBuiltin="1"/>
    <cellStyle name="60% - Ênfase2" xfId="28" builtinId="36" customBuiltin="1"/>
    <cellStyle name="60% - Ênfase3" xfId="32" builtinId="40" customBuiltin="1"/>
    <cellStyle name="60% - Ênfase4" xfId="36" builtinId="44" customBuiltin="1"/>
    <cellStyle name="60% - Ênfase5" xfId="40" builtinId="48" customBuiltin="1"/>
    <cellStyle name="60% - Ênfase6" xfId="44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Ênfase1" xfId="21" builtinId="29" customBuiltin="1"/>
    <cellStyle name="Ênfase2" xfId="25" builtinId="33" customBuiltin="1"/>
    <cellStyle name="Ênfase3" xfId="29" builtinId="37" customBuiltin="1"/>
    <cellStyle name="Ênfase4" xfId="33" builtinId="41" customBuiltin="1"/>
    <cellStyle name="Ênfase5" xfId="37" builtinId="45" customBuiltin="1"/>
    <cellStyle name="Ênfase6" xfId="41" builtinId="49" customBuiltin="1"/>
    <cellStyle name="Entrada" xfId="12" builtinId="20" customBuiltin="1"/>
    <cellStyle name="Neutro" xfId="11" builtinId="28" customBuiltin="1"/>
    <cellStyle name="Normal" xfId="0" builtinId="0"/>
    <cellStyle name="Normal 5 2" xfId="3" xr:uid="{2E190A7E-EAEE-4C4B-B7F8-D8E4F552CFEB}"/>
    <cellStyle name="Nota" xfId="18" builtinId="10" customBuiltin="1"/>
    <cellStyle name="Porcentagem" xfId="2" builtinId="5"/>
    <cellStyle name="Ruim" xfId="10" builtinId="27" customBuiltin="1"/>
    <cellStyle name="Saída" xfId="13" builtinId="21" customBuiltin="1"/>
    <cellStyle name="Texto de Aviso" xfId="17" builtinId="11" customBuiltin="1"/>
    <cellStyle name="Texto Explicativo" xfId="19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20" builtinId="25" customBuiltin="1"/>
    <cellStyle name="Vírgula" xfId="1" builtinId="3"/>
  </cellStyles>
  <dxfs count="15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C000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lor theme="0"/>
      </font>
      <fill>
        <patternFill patternType="solid">
          <fgColor rgb="FFA5A5A5"/>
          <bgColor rgb="FFA5A5A5"/>
        </patternFill>
      </fill>
    </dxf>
    <dxf>
      <font>
        <color rgb="FF7F7F7F"/>
      </font>
      <fill>
        <patternFill patternType="solid">
          <fgColor rgb="FFA5A5A5"/>
          <bgColor rgb="FFA5A5A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[h]:mm:ss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7" formatCode="[$-F400]h:mm:ss\ AM/P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7" formatCode="[$-F400]h:mm:ss\ AM/PM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4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numFmt numFmtId="175" formatCode="d\-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175" formatCode="d\-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d\-mmm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7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none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6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theme="6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theme="5" tint="0.79998168889431442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7" tint="-0.499984740745262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3" formatCode="0.00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6" formatCode="[h]:mm:ss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68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174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name val="Aptos Narrow"/>
        <scheme val="minor"/>
      </font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Estilo de Tabela 1" pivot="0" count="0" xr9:uid="{A4E8C4D6-94CE-458E-88B6-258FEB11EB2F}"/>
  </tableStyles>
  <colors>
    <mruColors>
      <color rgb="FF69F6FD"/>
      <color rgb="FFFFFF99"/>
      <color rgb="FFFF99CC"/>
      <color rgb="FF00FF00"/>
      <color rgb="FFEE029A"/>
      <color rgb="FF00FF99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544285</xdr:colOff>
      <xdr:row>0</xdr:row>
      <xdr:rowOff>40821</xdr:rowOff>
    </xdr:from>
    <xdr:ext cx="1545064" cy="519873"/>
    <xdr:pic>
      <xdr:nvPicPr>
        <xdr:cNvPr id="3" name="Imagem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95" t="73779" r="34644" b="8126"/>
        <a:stretch/>
      </xdr:blipFill>
      <xdr:spPr>
        <a:xfrm>
          <a:off x="2256544" y="40821"/>
          <a:ext cx="1545064" cy="51987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22413</xdr:colOff>
      <xdr:row>0</xdr:row>
      <xdr:rowOff>78440</xdr:rowOff>
    </xdr:from>
    <xdr:to>
      <xdr:col>7</xdr:col>
      <xdr:colOff>1138476</xdr:colOff>
      <xdr:row>2</xdr:row>
      <xdr:rowOff>78441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95" t="73779" r="34644" b="8126"/>
        <a:stretch/>
      </xdr:blipFill>
      <xdr:spPr>
        <a:xfrm>
          <a:off x="4101354" y="78440"/>
          <a:ext cx="1541662" cy="5266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19</xdr:row>
          <xdr:rowOff>104775</xdr:rowOff>
        </xdr:from>
        <xdr:to>
          <xdr:col>21</xdr:col>
          <xdr:colOff>190500</xdr:colOff>
          <xdr:row>22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Placas Disponíveis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 Souza" refreshedDate="45832.447919212966" createdVersion="8" refreshedVersion="8" minRefreshableVersion="3" recordCount="32" xr:uid="{249A2DDF-8F3C-4DAC-A8B1-40E5D7BFB4F9}">
  <cacheSource type="worksheet">
    <worksheetSource ref="F1:I33" sheet="depara"/>
  </cacheSource>
  <cacheFields count="4">
    <cacheField name="PLACA" numFmtId="0">
      <sharedItems count="45">
        <s v="CUH3C06"/>
        <s v="FCA8H37"/>
        <s v="FCO7153"/>
        <s v="FCR7H56"/>
        <s v="FEU8905"/>
        <s v="FJO1322"/>
        <s v="FML6122"/>
        <s v="FUE8714"/>
        <s v="FUX6061"/>
        <s v="FXZ0966"/>
        <s v="GAU0G73"/>
        <s v="GBJ5D81"/>
        <s v="GDY9098"/>
        <s v="GEO8C55"/>
        <s v="GHK2F66"/>
        <s v="GIU0950"/>
        <s v="GKB9192"/>
        <s v="GKF6739"/>
        <s v="QJT3668"/>
        <s v="QJU2138"/>
        <s v="QJU2248"/>
        <s v="QJU2318"/>
        <s v="QJU2428"/>
        <s v="QJU2F48"/>
        <s v="RAI4107"/>
        <s v="RAI4127"/>
        <s v="RDZ9A66"/>
        <s v="RDZ9E96"/>
        <s v="RKW7G77"/>
        <s v="RLJ6G37"/>
        <s v="RLK0D87"/>
        <s v="RTI1I17"/>
        <s v="FCA8737" u="1"/>
        <s v="GBJ5381" u="1"/>
        <s v="QJU2548" u="1"/>
        <s v="VSP0001" u="1"/>
        <s v="VSP0002" u="1"/>
        <s v="FJU1083" u="1"/>
        <s v="FQJ2900" u="1"/>
        <s v="FRH2474" u="1"/>
        <s v="FRL7946" u="1"/>
        <s v="FSD7470" u="1"/>
        <s v="FSJ8124" u="1"/>
        <s v="FXN4845" u="1"/>
        <s v="FXQ6592" u="1"/>
      </sharedItems>
    </cacheField>
    <cacheField name="PERFIL" numFmtId="0">
      <sharedItems/>
    </cacheField>
    <cacheField name="OPER." numFmtId="0">
      <sharedItems/>
    </cacheField>
    <cacheField name="CHECK" numFmtId="0">
      <sharedItems containsMixedTypes="1" containsNumber="1" containsInteger="1" minValue="0" maxValue="286" count="34">
        <s v="NOK"/>
        <n v="192"/>
        <n v="15"/>
        <n v="48"/>
        <n v="269"/>
        <n v="217"/>
        <n v="14"/>
        <n v="270"/>
        <n v="285"/>
        <n v="236"/>
        <n v="161"/>
        <n v="277"/>
        <n v="208"/>
        <n v="218"/>
        <n v="34"/>
        <n v="107"/>
        <n v="244"/>
        <n v="202"/>
        <n v="90"/>
        <n v="286"/>
        <n v="86"/>
        <n v="268" u="1"/>
        <n v="186" u="1"/>
        <n v="2" u="1"/>
        <n v="199" u="1"/>
        <n v="128" u="1"/>
        <n v="281" u="1"/>
        <n v="282" u="1"/>
        <n v="283" u="1"/>
        <n v="224" u="1"/>
        <n v="245" u="1"/>
        <n v="0" u="1"/>
        <n v="280" u="1"/>
        <n v="20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s v="VUC"/>
    <s v="ROTA"/>
    <x v="0"/>
  </r>
  <r>
    <x v="1"/>
    <s v="TOCO"/>
    <s v="ROTA"/>
    <x v="1"/>
  </r>
  <r>
    <x v="2"/>
    <s v="TOCO"/>
    <s v="ROTA"/>
    <x v="2"/>
  </r>
  <r>
    <x v="3"/>
    <s v="TOCO"/>
    <s v="ROTA"/>
    <x v="0"/>
  </r>
  <r>
    <x v="4"/>
    <s v="TOCO"/>
    <s v="ROTA"/>
    <x v="3"/>
  </r>
  <r>
    <x v="5"/>
    <s v="TOCO"/>
    <s v="ROTA"/>
    <x v="4"/>
  </r>
  <r>
    <x v="6"/>
    <s v="TOCO"/>
    <s v="ROTA"/>
    <x v="5"/>
  </r>
  <r>
    <x v="7"/>
    <s v="TOCO"/>
    <s v="ROTA"/>
    <x v="6"/>
  </r>
  <r>
    <x v="8"/>
    <s v="TOCO"/>
    <s v="ROTA"/>
    <x v="0"/>
  </r>
  <r>
    <x v="9"/>
    <s v="TOCO"/>
    <s v="ROTA"/>
    <x v="0"/>
  </r>
  <r>
    <x v="10"/>
    <s v="VUC"/>
    <s v="ROTA"/>
    <x v="7"/>
  </r>
  <r>
    <x v="11"/>
    <s v="TOCO"/>
    <s v="ROTA"/>
    <x v="0"/>
  </r>
  <r>
    <x v="12"/>
    <s v="TOCO"/>
    <s v="ROTA"/>
    <x v="0"/>
  </r>
  <r>
    <x v="13"/>
    <s v="VUC"/>
    <s v="ROTA"/>
    <x v="8"/>
  </r>
  <r>
    <x v="14"/>
    <s v="TOCO"/>
    <s v="ROTA"/>
    <x v="9"/>
  </r>
  <r>
    <x v="15"/>
    <s v="TOCO"/>
    <s v="ROTA"/>
    <x v="10"/>
  </r>
  <r>
    <x v="16"/>
    <s v="TOCO"/>
    <s v="ROTA"/>
    <x v="11"/>
  </r>
  <r>
    <x v="17"/>
    <s v="TOCO"/>
    <s v="ROTA"/>
    <x v="0"/>
  </r>
  <r>
    <x v="18"/>
    <s v="TRUCK"/>
    <s v="ROTA"/>
    <x v="12"/>
  </r>
  <r>
    <x v="19"/>
    <s v="TRUCK"/>
    <s v="ROTA"/>
    <x v="13"/>
  </r>
  <r>
    <x v="20"/>
    <s v="TRUCK"/>
    <s v="ROTA"/>
    <x v="14"/>
  </r>
  <r>
    <x v="21"/>
    <s v="TRUCK"/>
    <s v="ROTA"/>
    <x v="15"/>
  </r>
  <r>
    <x v="22"/>
    <s v="TRUCK"/>
    <s v="ROTA"/>
    <x v="16"/>
  </r>
  <r>
    <x v="23"/>
    <s v="TRUCK"/>
    <s v="ROTA"/>
    <x v="17"/>
  </r>
  <r>
    <x v="24"/>
    <s v="BITRUCK"/>
    <s v="ASCD"/>
    <x v="18"/>
  </r>
  <r>
    <x v="25"/>
    <s v="BITRUCK"/>
    <s v="ASCD"/>
    <x v="0"/>
  </r>
  <r>
    <x v="26"/>
    <s v="TRUCK"/>
    <s v="ROTA"/>
    <x v="0"/>
  </r>
  <r>
    <x v="27"/>
    <s v="TRUCK"/>
    <s v="ROTA"/>
    <x v="0"/>
  </r>
  <r>
    <x v="28"/>
    <s v="TRUCK"/>
    <s v="ROTA"/>
    <x v="0"/>
  </r>
  <r>
    <x v="29"/>
    <s v="VUC"/>
    <s v="ROTA"/>
    <x v="0"/>
  </r>
  <r>
    <x v="30"/>
    <s v="VUC"/>
    <s v="ROTA"/>
    <x v="19"/>
  </r>
  <r>
    <x v="31"/>
    <s v="VAN"/>
    <s v="ROTA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8A788-FC92-419F-ADC8-F5C140EB3BC4}" name="Tabela dinâmica1" cacheId="4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X3:X15" firstHeaderRow="1" firstDataRow="1" firstDataCol="1" rowPageCount="1" colPageCount="1"/>
  <pivotFields count="4">
    <pivotField axis="axisRow" showAll="0">
      <items count="46">
        <item x="0"/>
        <item m="1" x="32"/>
        <item x="2"/>
        <item x="3"/>
        <item x="4"/>
        <item x="5"/>
        <item m="1" x="37"/>
        <item x="6"/>
        <item m="1" x="38"/>
        <item m="1" x="39"/>
        <item m="1" x="40"/>
        <item m="1" x="41"/>
        <item m="1" x="42"/>
        <item x="7"/>
        <item x="8"/>
        <item m="1" x="43"/>
        <item m="1" x="44"/>
        <item x="9"/>
        <item x="10"/>
        <item m="1" x="33"/>
        <item x="12"/>
        <item x="13"/>
        <item x="14"/>
        <item x="15"/>
        <item x="16"/>
        <item x="17"/>
        <item x="18"/>
        <item x="19"/>
        <item x="20"/>
        <item x="21"/>
        <item x="22"/>
        <item m="1" x="34"/>
        <item x="24"/>
        <item x="25"/>
        <item x="26"/>
        <item x="27"/>
        <item x="28"/>
        <item x="29"/>
        <item x="30"/>
        <item x="31"/>
        <item m="1" x="35"/>
        <item m="1" x="36"/>
        <item x="11"/>
        <item x="23"/>
        <item x="1"/>
        <item t="default"/>
      </items>
    </pivotField>
    <pivotField showAll="0"/>
    <pivotField showAll="0"/>
    <pivotField axis="axisPage" multipleItemSelectionAllowed="1" showAll="0">
      <items count="35">
        <item h="1" m="1" x="23"/>
        <item h="1" x="6"/>
        <item h="1" x="2"/>
        <item h="1" x="3"/>
        <item h="1" m="1" x="25"/>
        <item h="1" x="10"/>
        <item h="1" x="1"/>
        <item h="1" m="1" x="24"/>
        <item h="1" x="17"/>
        <item h="1" m="1" x="33"/>
        <item h="1" x="5"/>
        <item h="1" x="13"/>
        <item h="1" x="9"/>
        <item h="1" x="16"/>
        <item h="1" m="1" x="30"/>
        <item h="1" m="1" x="21"/>
        <item h="1" x="4"/>
        <item h="1" x="7"/>
        <item h="1" x="11"/>
        <item h="1" m="1" x="26"/>
        <item h="1" m="1" x="27"/>
        <item h="1" m="1" x="28"/>
        <item h="1" x="8"/>
        <item h="1" x="19"/>
        <item x="0"/>
        <item h="1" m="1" x="32"/>
        <item h="1" m="1" x="31"/>
        <item h="1" m="1" x="29"/>
        <item h="1" x="18"/>
        <item h="1" x="14"/>
        <item h="1" m="1" x="22"/>
        <item h="1" x="12"/>
        <item h="1" x="15"/>
        <item h="1" x="20"/>
        <item t="default"/>
      </items>
    </pivotField>
  </pivotFields>
  <rowFields count="1">
    <field x="0"/>
  </rowFields>
  <rowItems count="12">
    <i>
      <x/>
    </i>
    <i>
      <x v="3"/>
    </i>
    <i>
      <x v="14"/>
    </i>
    <i>
      <x v="17"/>
    </i>
    <i>
      <x v="20"/>
    </i>
    <i>
      <x v="25"/>
    </i>
    <i>
      <x v="33"/>
    </i>
    <i>
      <x v="34"/>
    </i>
    <i>
      <x v="35"/>
    </i>
    <i>
      <x v="36"/>
    </i>
    <i>
      <x v="37"/>
    </i>
    <i>
      <x v="42"/>
    </i>
  </rowItems>
  <colItems count="1">
    <i/>
  </colItems>
  <pageFields count="1">
    <pageField fld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35" displayName="Tabela35" ref="B3:S15" totalsRowShown="0" headerRowDxfId="1504" dataDxfId="1503">
  <autoFilter ref="B3:S15" xr:uid="{00000000-0009-0000-0100-000004000000}"/>
  <tableColumns count="18">
    <tableColumn id="1" xr3:uid="{00000000-0010-0000-0000-000001000000}" name="Plate" dataDxfId="1502">
      <calculatedColumnFormula>IF(FIDELIZAÇÃO!C5 = "", "NA", FIDELIZAÇÃO!C5)</calculatedColumnFormula>
    </tableColumn>
    <tableColumn id="2" xr3:uid="{00000000-0010-0000-0000-000002000000}" name="Data" dataDxfId="1501">
      <calculatedColumnFormula>IFERROR(VLOOKUP(B4,'03114902'!B:G,6,0),"")</calculatedColumnFormula>
    </tableColumn>
    <tableColumn id="3" xr3:uid="{00000000-0010-0000-0000-000003000000}" name="Placa" dataDxfId="1500">
      <calculatedColumnFormula>IFERROR(VLOOKUP(B4,'03114902'!B:O,14,0),"")</calculatedColumnFormula>
    </tableColumn>
    <tableColumn id="4" xr3:uid="{00000000-0010-0000-0000-000004000000}" name="Mapa" dataDxfId="1499">
      <calculatedColumnFormula>IFERROR(VLOOKUP(B4,'03114902'!B:I,8,0),"")</calculatedColumnFormula>
    </tableColumn>
    <tableColumn id="5" xr3:uid="{00000000-0010-0000-0000-000005000000}" name="Oper." dataDxfId="1498">
      <calculatedColumnFormula>IFERROR(VLOOKUP(B4,'03114902'!B:L,11,0),"")</calculatedColumnFormula>
    </tableColumn>
    <tableColumn id="6" xr3:uid="{00000000-0010-0000-0000-000006000000}" name="Id1" dataDxfId="1497">
      <calculatedColumnFormula>IFERROR(VLOOKUP(D4,FIDELIZAÇÃO!C:E,3,0),"")</calculatedColumnFormula>
    </tableColumn>
    <tableColumn id="7" xr3:uid="{00000000-0010-0000-0000-000007000000}" name="Motorista" dataDxfId="1496">
      <calculatedColumnFormula>IFERROR(VLOOKUP(G4,FIDELIZAÇÃO!E:F,2,0),"")</calculatedColumnFormula>
    </tableColumn>
    <tableColumn id="8" xr3:uid="{00000000-0010-0000-0000-000008000000}" name="Id2" dataDxfId="1495">
      <calculatedColumnFormula>IFERROR(VLOOKUP(D4,FIDELIZAÇÃO!C:G,5,0),"")</calculatedColumnFormula>
    </tableColumn>
    <tableColumn id="9" xr3:uid="{00000000-0010-0000-0000-000009000000}" name="Ajudante" dataDxfId="1494">
      <calculatedColumnFormula>IFERROR(VLOOKUP(I4,FIDELIZAÇÃO!G:H,2,0),"")</calculatedColumnFormula>
    </tableColumn>
    <tableColumn id="10" xr3:uid="{00000000-0010-0000-0000-00000A000000}" name="Entregas" dataDxfId="1493">
      <calculatedColumnFormula>IFERROR(VLOOKUP(B4,'03114902'!B:X,23,0),"")</calculatedColumnFormula>
    </tableColumn>
    <tableColumn id="11" xr3:uid="{00000000-0010-0000-0000-00000B000000}" name="Cidades +Entregas" dataDxfId="1492">
      <calculatedColumnFormula>IFERROR(VLOOKUP(B4,'03114902'!B:AM,38,0),"")</calculatedColumnFormula>
    </tableColumn>
    <tableColumn id="12" xr3:uid="{00000000-0010-0000-0000-00000C000000}" name="Região +Entregas" dataDxfId="1491">
      <calculatedColumnFormula>IFERROR(VLOOKUP(B4,'03114902'!B:AN,39,0),"")</calculatedColumnFormula>
    </tableColumn>
    <tableColumn id="13" xr3:uid="{00000000-0010-0000-0000-00000D000000}" name="KM Prev." dataDxfId="1490">
      <calculatedColumnFormula>IFERROR(VLOOKUP(B4,'03114902'!B:V,21,0),"")</calculatedColumnFormula>
    </tableColumn>
    <tableColumn id="14" xr3:uid="{00000000-0010-0000-0000-00000E000000}" name="Tempo Prev." dataDxfId="1489">
      <calculatedColumnFormula>IFERROR(VLOOKUP(B4,'03114902'!B:W,22,0),"")</calculatedColumnFormula>
    </tableColumn>
    <tableColumn id="15" xr3:uid="{00000000-0010-0000-0000-00000F000000}" name="Tot. caixas" dataDxfId="1488">
      <calculatedColumnFormula>IFERROR(VLOOKUP(B4,'03114902'!B:Y,24,0),"")</calculatedColumnFormula>
    </tableColumn>
    <tableColumn id="16" xr3:uid="{00000000-0010-0000-0000-000010000000}" name="Ocupação (%)" dataDxfId="1487">
      <calculatedColumnFormula>IFERROR(VLOOKUP(B4,'03114902'!B:Z,25,0) * 0.01,"")</calculatedColumnFormula>
    </tableColumn>
    <tableColumn id="18" xr3:uid="{00000000-0010-0000-0000-000012000000}" name="Peso total" dataDxfId="1486">
      <calculatedColumnFormula>IFERROR(VLOOKUP(B4,'03114902'!B:AA,26,0),"")</calculatedColumnFormula>
    </tableColumn>
    <tableColumn id="17" xr3:uid="{00000000-0010-0000-0000-000011000000}" name="Ocup. Peso" dataDxfId="1485">
      <calculatedColumnFormula>IFERROR(VLOOKUP(B4,'03114902'!B:AB,27,0) * 0.01,"")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ela3510" displayName="Tabela3510" ref="B18:S33" totalsRowShown="0" headerRowDxfId="1484" dataDxfId="1483">
  <autoFilter ref="B18:S33" xr:uid="{00000000-000C-0000-FFFF-FFFF01000000}"/>
  <tableColumns count="18">
    <tableColumn id="1" xr3:uid="{00000000-0010-0000-0100-000001000000}" name="Plate" dataDxfId="1482"/>
    <tableColumn id="2" xr3:uid="{00000000-0010-0000-0100-000002000000}" name="Data" dataDxfId="1481">
      <calculatedColumnFormula>IFERROR(VLOOKUP(B19,'03114902'!B:G,6,0),"")</calculatedColumnFormula>
    </tableColumn>
    <tableColumn id="3" xr3:uid="{00000000-0010-0000-0100-000003000000}" name="Placa" dataDxfId="1480">
      <calculatedColumnFormula>IFERROR(VLOOKUP(B19,'03114902'!B:O,14,0),"")</calculatedColumnFormula>
    </tableColumn>
    <tableColumn id="4" xr3:uid="{00000000-0010-0000-0100-000004000000}" name="Mapa" dataDxfId="1479">
      <calculatedColumnFormula>IFERROR(VLOOKUP(B19,'03114902'!B:I,8,0),"")</calculatedColumnFormula>
    </tableColumn>
    <tableColumn id="5" xr3:uid="{00000000-0010-0000-0100-000005000000}" name="Oper." dataDxfId="1478">
      <calculatedColumnFormula>IFERROR(VLOOKUP(B19,'03114902'!B:L,11,0),"")</calculatedColumnFormula>
    </tableColumn>
    <tableColumn id="6" xr3:uid="{00000000-0010-0000-0100-000006000000}" name="Id1" dataDxfId="1477">
      <calculatedColumnFormula>IFERROR(VLOOKUP(D19,FIDELIZAÇÃO!C:E,3,0),"")</calculatedColumnFormula>
    </tableColumn>
    <tableColumn id="7" xr3:uid="{00000000-0010-0000-0100-000007000000}" name="Motorista" dataDxfId="1476">
      <calculatedColumnFormula>IFERROR(VLOOKUP(G19,FIDELIZAÇÃO!E:F,2,0),"")</calculatedColumnFormula>
    </tableColumn>
    <tableColumn id="8" xr3:uid="{00000000-0010-0000-0100-000008000000}" name="Id2" dataDxfId="1475">
      <calculatedColumnFormula>IFERROR(VLOOKUP(D19,FIDELIZAÇÃO!C:G,5,0),"")</calculatedColumnFormula>
    </tableColumn>
    <tableColumn id="9" xr3:uid="{00000000-0010-0000-0100-000009000000}" name="Ajudante" dataDxfId="1474">
      <calculatedColumnFormula>IFERROR(VLOOKUP(I19,FIDELIZAÇÃO!G:H,2,0),"")</calculatedColumnFormula>
    </tableColumn>
    <tableColumn id="10" xr3:uid="{00000000-0010-0000-0100-00000A000000}" name="Entregas" dataDxfId="1473">
      <calculatedColumnFormula>IFERROR(VLOOKUP(B19,'03114902'!B:X,23,0),"")</calculatedColumnFormula>
    </tableColumn>
    <tableColumn id="11" xr3:uid="{00000000-0010-0000-0100-00000B000000}" name="Cidades +Entregas" dataDxfId="1472">
      <calculatedColumnFormula>IFERROR(VLOOKUP(B19,'03114902'!B:AM,38,0),"")</calculatedColumnFormula>
    </tableColumn>
    <tableColumn id="12" xr3:uid="{00000000-0010-0000-0100-00000C000000}" name="Região +Entregas" dataDxfId="1471">
      <calculatedColumnFormula>IFERROR(VLOOKUP(B19,'03114902'!B:AN,39,0),"")</calculatedColumnFormula>
    </tableColumn>
    <tableColumn id="13" xr3:uid="{00000000-0010-0000-0100-00000D000000}" name="KM Prev." dataDxfId="1470">
      <calculatedColumnFormula>IFERROR(VLOOKUP(B19,'03114902'!B:V,21,0),"")</calculatedColumnFormula>
    </tableColumn>
    <tableColumn id="14" xr3:uid="{00000000-0010-0000-0100-00000E000000}" name="Tempo Prev." dataDxfId="1469">
      <calculatedColumnFormula>IFERROR(VLOOKUP(B19,'03114902'!B:W,22,0),"")</calculatedColumnFormula>
    </tableColumn>
    <tableColumn id="15" xr3:uid="{00000000-0010-0000-0100-00000F000000}" name="Tot. caixas" dataDxfId="1468">
      <calculatedColumnFormula>IFERROR(VLOOKUP(B19,'03114902'!B:Y,24,0),"")</calculatedColumnFormula>
    </tableColumn>
    <tableColumn id="16" xr3:uid="{00000000-0010-0000-0100-000010000000}" name="Ocupação (%)" dataDxfId="1467">
      <calculatedColumnFormula>IFERROR(VLOOKUP(B19,'03114902'!B:Z,25,0) * 0.01,"")</calculatedColumnFormula>
    </tableColumn>
    <tableColumn id="18" xr3:uid="{00000000-0010-0000-0100-000012000000}" name="Peso total" dataDxfId="1466">
      <calculatedColumnFormula>IFERROR(VLOOKUP(B19,'03114902'!B:AA,26,0),"")</calculatedColumnFormula>
    </tableColumn>
    <tableColumn id="17" xr3:uid="{00000000-0010-0000-0100-000011000000}" name="Ocup. Peso" dataDxfId="1465" dataCellStyle="Porcentagem">
      <calculatedColumnFormula>IFERROR(VLOOKUP(B19,'03114902'!B:AB,27,0) * 0.01,"")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ela3511" displayName="Tabela3511" ref="B36:S40" totalsRowShown="0" headerRowDxfId="1464" dataDxfId="1463">
  <autoFilter ref="B36:S40" xr:uid="{00000000-0009-0000-0100-00000A000000}">
    <filterColumn colId="5">
      <customFilters>
        <customFilter operator="notEqual" val=" "/>
      </customFilters>
    </filterColumn>
  </autoFilter>
  <tableColumns count="18">
    <tableColumn id="1" xr3:uid="{00000000-0010-0000-0200-000001000000}" name="Plate" dataDxfId="1462"/>
    <tableColumn id="2" xr3:uid="{00000000-0010-0000-0200-000002000000}" name="Data" dataDxfId="1461">
      <calculatedColumnFormula>IFERROR(VLOOKUP(B37,'03114902'!B:G,6,0),"")</calculatedColumnFormula>
    </tableColumn>
    <tableColumn id="3" xr3:uid="{00000000-0010-0000-0200-000003000000}" name="Placa" dataDxfId="1460">
      <calculatedColumnFormula>IFERROR(VLOOKUP(B37,'03114902'!B:O,14,0),"")</calculatedColumnFormula>
    </tableColumn>
    <tableColumn id="4" xr3:uid="{00000000-0010-0000-0200-000004000000}" name="Mapa" dataDxfId="1459">
      <calculatedColumnFormula>IFERROR(VLOOKUP(B37,'03114902'!B:I,8,0),"")</calculatedColumnFormula>
    </tableColumn>
    <tableColumn id="5" xr3:uid="{00000000-0010-0000-0200-000005000000}" name="Oper." dataDxfId="1458">
      <calculatedColumnFormula>IFERROR(VLOOKUP(B37,'03114902'!B:L,11,0),"")</calculatedColumnFormula>
    </tableColumn>
    <tableColumn id="6" xr3:uid="{00000000-0010-0000-0200-000006000000}" name="Id1" dataDxfId="1457">
      <calculatedColumnFormula>IFERROR(VLOOKUP(D37,FIDELIZAÇÃO!C:E,3,0),"")</calculatedColumnFormula>
    </tableColumn>
    <tableColumn id="7" xr3:uid="{00000000-0010-0000-0200-000007000000}" name="Motorista" dataDxfId="1456">
      <calculatedColumnFormula>IFERROR(VLOOKUP(G37,FIDELIZAÇÃO!E:F,2,0),"")</calculatedColumnFormula>
    </tableColumn>
    <tableColumn id="8" xr3:uid="{00000000-0010-0000-0200-000008000000}" name="Id2" dataDxfId="1455">
      <calculatedColumnFormula>IFERROR(VLOOKUP(D37,FIDELIZAÇÃO!C:G,5,0),"")</calculatedColumnFormula>
    </tableColumn>
    <tableColumn id="9" xr3:uid="{00000000-0010-0000-0200-000009000000}" name="Ajudante" dataDxfId="1454">
      <calculatedColumnFormula>IFERROR(VLOOKUP(I37,FIDELIZAÇÃO!G:H,2,0),"")</calculatedColumnFormula>
    </tableColumn>
    <tableColumn id="10" xr3:uid="{00000000-0010-0000-0200-00000A000000}" name="Entregas" dataDxfId="1453">
      <calculatedColumnFormula>IFERROR(VLOOKUP(B37,'03114902'!B:X,23,0),"")</calculatedColumnFormula>
    </tableColumn>
    <tableColumn id="11" xr3:uid="{00000000-0010-0000-0200-00000B000000}" name="Cidades +Entregas" dataDxfId="1452">
      <calculatedColumnFormula>IFERROR(VLOOKUP(B37,'03114902'!B:AM,38,0),"")</calculatedColumnFormula>
    </tableColumn>
    <tableColumn id="12" xr3:uid="{00000000-0010-0000-0200-00000C000000}" name="Região +Entregas" dataDxfId="1451">
      <calculatedColumnFormula>IFERROR(VLOOKUP(B37,'03114902'!B:AN,39,0),"")</calculatedColumnFormula>
    </tableColumn>
    <tableColumn id="13" xr3:uid="{00000000-0010-0000-0200-00000D000000}" name="KM Prev." dataDxfId="1450">
      <calculatedColumnFormula>IFERROR(VLOOKUP(B37,'03114902'!B:V,21,0),"")</calculatedColumnFormula>
    </tableColumn>
    <tableColumn id="14" xr3:uid="{00000000-0010-0000-0200-00000E000000}" name="Tempo Prev." dataDxfId="1449">
      <calculatedColumnFormula>IFERROR(VLOOKUP(B37,'03114902'!B:W,22,0),"")</calculatedColumnFormula>
    </tableColumn>
    <tableColumn id="15" xr3:uid="{00000000-0010-0000-0200-00000F000000}" name="Tot. caixas" dataDxfId="1448">
      <calculatedColumnFormula>IFERROR(VLOOKUP(B37,'03114902'!B:Y,24,0),"")</calculatedColumnFormula>
    </tableColumn>
    <tableColumn id="16" xr3:uid="{00000000-0010-0000-0200-000010000000}" name="Ocupação (%)" dataDxfId="1447">
      <calculatedColumnFormula>IFERROR(VLOOKUP(B37,'03114902'!B:Z,25,0) * 0.01,"")</calculatedColumnFormula>
    </tableColumn>
    <tableColumn id="18" xr3:uid="{00000000-0010-0000-0200-000012000000}" name="Peso total" dataDxfId="1446">
      <calculatedColumnFormula>IFERROR(VLOOKUP(B37,'03114902'!B:AA,26,0),"")</calculatedColumnFormula>
    </tableColumn>
    <tableColumn id="17" xr3:uid="{00000000-0010-0000-0200-000011000000}" name="Ocup. Peso" dataDxfId="1445" dataCellStyle="Porcentagem">
      <calculatedColumnFormula>IFERROR(VLOOKUP(B37,'03114902'!B:AB,27,0) * 0.01,"")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ela3512" displayName="Tabela3512" ref="B48:S68" totalsRowShown="0" headerRowDxfId="1444" dataDxfId="1443">
  <autoFilter ref="B48:S68" xr:uid="{00000000-0009-0000-0100-00000B000000}">
    <filterColumn colId="5">
      <customFilters>
        <customFilter operator="notEqual" val=" "/>
      </customFilters>
    </filterColumn>
  </autoFilter>
  <tableColumns count="18">
    <tableColumn id="1" xr3:uid="{00000000-0010-0000-0300-000001000000}" name="Plate" dataDxfId="1442">
      <calculatedColumnFormula>IF(FIDELIZAÇÃO!C45 = "", "NA", FIDELIZAÇÃO!C45)</calculatedColumnFormula>
    </tableColumn>
    <tableColumn id="2" xr3:uid="{00000000-0010-0000-0300-000002000000}" name="Data" dataDxfId="1441">
      <calculatedColumnFormula>IFERROR(VLOOKUP(B49,'03114902'!B:G,6,0),"")</calculatedColumnFormula>
    </tableColumn>
    <tableColumn id="3" xr3:uid="{00000000-0010-0000-0300-000003000000}" name="Placa" dataDxfId="1440">
      <calculatedColumnFormula>IFERROR(VLOOKUP(B49,'03114902'!B:O,14,0),"")</calculatedColumnFormula>
    </tableColumn>
    <tableColumn id="4" xr3:uid="{00000000-0010-0000-0300-000004000000}" name="Mapa" dataDxfId="1439">
      <calculatedColumnFormula>IFERROR(VLOOKUP(B49,'03114902'!B:I,8,0),"")</calculatedColumnFormula>
    </tableColumn>
    <tableColumn id="5" xr3:uid="{00000000-0010-0000-0300-000005000000}" name="Oper." dataDxfId="1438">
      <calculatedColumnFormula>IFERROR(VLOOKUP(B49,'03114902'!B:L,11,0),"")</calculatedColumnFormula>
    </tableColumn>
    <tableColumn id="6" xr3:uid="{00000000-0010-0000-0300-000006000000}" name="Id1" dataDxfId="1437">
      <calculatedColumnFormula>IFERROR(VLOOKUP(D49,FIDELIZAÇÃO!C:E,3,0),"")</calculatedColumnFormula>
    </tableColumn>
    <tableColumn id="7" xr3:uid="{00000000-0010-0000-0300-000007000000}" name="Motorista" dataDxfId="1436">
      <calculatedColumnFormula>IFERROR(VLOOKUP(G49,FIDELIZAÇÃO!E:F,2,0),"")</calculatedColumnFormula>
    </tableColumn>
    <tableColumn id="8" xr3:uid="{00000000-0010-0000-0300-000008000000}" name="Id2" dataDxfId="1435">
      <calculatedColumnFormula>IFERROR(VLOOKUP(D49,FIDELIZAÇÃO!C:G,5,0),"")</calculatedColumnFormula>
    </tableColumn>
    <tableColumn id="9" xr3:uid="{00000000-0010-0000-0300-000009000000}" name="Ajudante" dataDxfId="1434">
      <calculatedColumnFormula>IFERROR(VLOOKUP(I49,FIDELIZAÇÃO!G:H,2,0),"")</calculatedColumnFormula>
    </tableColumn>
    <tableColumn id="10" xr3:uid="{00000000-0010-0000-0300-00000A000000}" name="Entregas" dataDxfId="1433">
      <calculatedColumnFormula>IFERROR(VLOOKUP(B49,'03114902'!B:X,23,0),"")</calculatedColumnFormula>
    </tableColumn>
    <tableColumn id="11" xr3:uid="{00000000-0010-0000-0300-00000B000000}" name="Cidades +Entregas" dataDxfId="1432">
      <calculatedColumnFormula>IFERROR(VLOOKUP(B49,'03114902'!B:AM,38,0),"")</calculatedColumnFormula>
    </tableColumn>
    <tableColumn id="12" xr3:uid="{00000000-0010-0000-0300-00000C000000}" name="Região +Entregas" dataDxfId="1431">
      <calculatedColumnFormula>IFERROR(VLOOKUP(B49,'03114902'!B:AN,39,0),"")</calculatedColumnFormula>
    </tableColumn>
    <tableColumn id="13" xr3:uid="{00000000-0010-0000-0300-00000D000000}" name="KM Prev." dataDxfId="1430">
      <calculatedColumnFormula>IFERROR(VLOOKUP(B49,'03114902'!B:V,21,0),"")</calculatedColumnFormula>
    </tableColumn>
    <tableColumn id="14" xr3:uid="{00000000-0010-0000-0300-00000E000000}" name="Tempo Prev." dataDxfId="1429">
      <calculatedColumnFormula>IFERROR(VLOOKUP(B49,'03114902'!B:W,22,0),"")</calculatedColumnFormula>
    </tableColumn>
    <tableColumn id="15" xr3:uid="{00000000-0010-0000-0300-00000F000000}" name="Tot. caixas" dataDxfId="1428">
      <calculatedColumnFormula>IFERROR(VLOOKUP(B49,'03114902'!B:Y,24,0),"")</calculatedColumnFormula>
    </tableColumn>
    <tableColumn id="16" xr3:uid="{00000000-0010-0000-0300-000010000000}" name="Ocupação (%)" dataDxfId="1427">
      <calculatedColumnFormula>IFERROR(VLOOKUP(B49,'03114902'!B:Z,25,0) * 0.01,"")</calculatedColumnFormula>
    </tableColumn>
    <tableColumn id="18" xr3:uid="{00000000-0010-0000-0300-000012000000}" name="Peso total" dataDxfId="1426">
      <calculatedColumnFormula>IFERROR(VLOOKUP(B49,'03114902'!B:AA,26,0),"")</calculatedColumnFormula>
    </tableColumn>
    <tableColumn id="17" xr3:uid="{00000000-0010-0000-0300-000011000000}" name="Ocup. Peso" dataDxfId="1425" dataCellStyle="Porcentagem">
      <calculatedColumnFormula>IFERROR(VLOOKUP(B49,'03114902'!B:AB,27,0) * 0.01,"")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4000000}" name="Tabela351118" displayName="Tabela351118" ref="B43:S45" totalsRowShown="0" headerRowDxfId="1424" dataDxfId="1423">
  <autoFilter ref="B43:S45" xr:uid="{00000000-0009-0000-0100-000011000000}"/>
  <tableColumns count="18">
    <tableColumn id="1" xr3:uid="{00000000-0010-0000-0400-000001000000}" name="Plate" dataDxfId="1422">
      <calculatedColumnFormula>IF(FIDELIZAÇÃO!C34 = "", "NA", FIDELIZAÇÃO!C34)</calculatedColumnFormula>
    </tableColumn>
    <tableColumn id="2" xr3:uid="{00000000-0010-0000-0400-000002000000}" name="Data" dataDxfId="1421">
      <calculatedColumnFormula>IFERROR(VLOOKUP(B44,'03114902'!B:G,6,0),"")</calculatedColumnFormula>
    </tableColumn>
    <tableColumn id="3" xr3:uid="{00000000-0010-0000-0400-000003000000}" name="Placa" dataDxfId="1420">
      <calculatedColumnFormula>IFERROR(VLOOKUP(B44,'03114902'!B:O,14,0),"")</calculatedColumnFormula>
    </tableColumn>
    <tableColumn id="4" xr3:uid="{00000000-0010-0000-0400-000004000000}" name="Mapa" dataDxfId="1419">
      <calculatedColumnFormula>IFERROR(VLOOKUP(B44,'03114902'!B:I,8,0),"")</calculatedColumnFormula>
    </tableColumn>
    <tableColumn id="5" xr3:uid="{00000000-0010-0000-0400-000005000000}" name="Oper." dataDxfId="1418">
      <calculatedColumnFormula>IFERROR(VLOOKUP(B44,'03114902'!B:L,11,0),"")</calculatedColumnFormula>
    </tableColumn>
    <tableColumn id="6" xr3:uid="{00000000-0010-0000-0400-000006000000}" name="Id1" dataDxfId="1417">
      <calculatedColumnFormula>IFERROR(VLOOKUP(D44,FIDELIZAÇÃO!C:E,3,0),"")</calculatedColumnFormula>
    </tableColumn>
    <tableColumn id="7" xr3:uid="{00000000-0010-0000-0400-000007000000}" name="Motorista" dataDxfId="1416">
      <calculatedColumnFormula>IFERROR(VLOOKUP(G44,FIDELIZAÇÃO!E:F,2,0),"")</calculatedColumnFormula>
    </tableColumn>
    <tableColumn id="8" xr3:uid="{00000000-0010-0000-0400-000008000000}" name="Id2" dataDxfId="1415">
      <calculatedColumnFormula>IFERROR(VLOOKUP(D44,FIDELIZAÇÃO!C:G,5,0),"")</calculatedColumnFormula>
    </tableColumn>
    <tableColumn id="9" xr3:uid="{00000000-0010-0000-0400-000009000000}" name="Ajudante" dataDxfId="1414">
      <calculatedColumnFormula>IFERROR(VLOOKUP(I44,FIDELIZAÇÃO!G:H,2,0),"")</calculatedColumnFormula>
    </tableColumn>
    <tableColumn id="10" xr3:uid="{00000000-0010-0000-0400-00000A000000}" name="Entregas" dataDxfId="1413">
      <calculatedColumnFormula>IFERROR(VLOOKUP(B44,'03114902'!B:X,23,0),"")</calculatedColumnFormula>
    </tableColumn>
    <tableColumn id="11" xr3:uid="{00000000-0010-0000-0400-00000B000000}" name="Cidades +Entregas" dataDxfId="1412">
      <calculatedColumnFormula>IFERROR(VLOOKUP(B44,'03114902'!B:AM,38,0),"")</calculatedColumnFormula>
    </tableColumn>
    <tableColumn id="12" xr3:uid="{00000000-0010-0000-0400-00000C000000}" name="Região +Entregas" dataDxfId="1411">
      <calculatedColumnFormula>IFERROR(VLOOKUP(B44,'03114902'!B:AN,39,0),"")</calculatedColumnFormula>
    </tableColumn>
    <tableColumn id="13" xr3:uid="{00000000-0010-0000-0400-00000D000000}" name="KM Prev." dataDxfId="1410">
      <calculatedColumnFormula>IFERROR(VLOOKUP(B44,'03114902'!B:V,21,0),"")</calculatedColumnFormula>
    </tableColumn>
    <tableColumn id="14" xr3:uid="{00000000-0010-0000-0400-00000E000000}" name="Tempo Prev." dataDxfId="1409">
      <calculatedColumnFormula>IFERROR(VLOOKUP(B44,'03114902'!B:W,22,0),"")</calculatedColumnFormula>
    </tableColumn>
    <tableColumn id="15" xr3:uid="{00000000-0010-0000-0400-00000F000000}" name="Tot. caixas" dataDxfId="1408">
      <calculatedColumnFormula>IFERROR(VLOOKUP(B44,'03114902'!B:Y,24,0),"")</calculatedColumnFormula>
    </tableColumn>
    <tableColumn id="16" xr3:uid="{00000000-0010-0000-0400-000010000000}" name="Ocupação (%)" dataDxfId="1407">
      <calculatedColumnFormula>IFERROR(VLOOKUP(B44,'03114902'!B:Z,25,0) * 0.01,"")</calculatedColumnFormula>
    </tableColumn>
    <tableColumn id="18" xr3:uid="{00000000-0010-0000-0400-000012000000}" name="Peso total" dataDxfId="1406">
      <calculatedColumnFormula>IFERROR(VLOOKUP(B44,'03114902'!B:AA,26,0),"")</calculatedColumnFormula>
    </tableColumn>
    <tableColumn id="17" xr3:uid="{00000000-0010-0000-0400-000011000000}" name="Ocup. Peso" dataDxfId="1405">
      <calculatedColumnFormula>IFERROR(VLOOKUP(B44,'03114902'!B:AB,27,0) * 0.01,"")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3" displayName="Tabela3" ref="A2:R52" totalsRowShown="0" headerRowDxfId="1404" dataDxfId="1403">
  <autoFilter ref="A2:R52" xr:uid="{00000000-0009-0000-0100-000003000000}"/>
  <tableColumns count="18">
    <tableColumn id="1" xr3:uid="{00000000-0010-0000-0500-000001000000}" name="Map" dataDxfId="1402"/>
    <tableColumn id="2" xr3:uid="{00000000-0010-0000-0500-000002000000}" name="Data" dataDxfId="1401">
      <calculatedColumnFormula>VLOOKUP(A3,'03114902'!A:G,7,0)</calculatedColumnFormula>
    </tableColumn>
    <tableColumn id="3" xr3:uid="{00000000-0010-0000-0500-000003000000}" name="Placa" dataDxfId="1400">
      <calculatedColumnFormula>VLOOKUP(A3,'03114902'!A:O,2,0)</calculatedColumnFormula>
    </tableColumn>
    <tableColumn id="4" xr3:uid="{00000000-0010-0000-0500-000004000000}" name="Mapa" dataDxfId="1399">
      <calculatedColumnFormula>VLOOKUP(A3,'03114902'!A:I,9,0)</calculatedColumnFormula>
    </tableColumn>
    <tableColumn id="5" xr3:uid="{00000000-0010-0000-0500-000005000000}" name="Oper." dataDxfId="1398">
      <calculatedColumnFormula>VLOOKUP(A3,'03114902'!A:L,12,0)</calculatedColumnFormula>
    </tableColumn>
    <tableColumn id="6" xr3:uid="{00000000-0010-0000-0500-000006000000}" name="Id1" dataDxfId="1397">
      <calculatedColumnFormula>IFERROR(VLOOKUP(C3,FIDELIZAÇÃO!C:E,3,0),"")</calculatedColumnFormula>
    </tableColumn>
    <tableColumn id="7" xr3:uid="{00000000-0010-0000-0500-000007000000}" name="Motorista" dataDxfId="1396">
      <calculatedColumnFormula>IFERROR(VLOOKUP(F3,FIDELIZAÇÃO!E:F,2,0),"")</calculatedColumnFormula>
    </tableColumn>
    <tableColumn id="8" xr3:uid="{00000000-0010-0000-0500-000008000000}" name="Id2" dataDxfId="1395">
      <calculatedColumnFormula>IFERROR(VLOOKUP(C3,FIDELIZAÇÃO!C:G,5,0),"")</calculatedColumnFormula>
    </tableColumn>
    <tableColumn id="9" xr3:uid="{00000000-0010-0000-0500-000009000000}" name="Ajudante" dataDxfId="1394">
      <calculatedColumnFormula>IFERROR(VLOOKUP(H3,FIDELIZAÇÃO!G:H,2,0),"")</calculatedColumnFormula>
    </tableColumn>
    <tableColumn id="10" xr3:uid="{00000000-0010-0000-0500-00000A000000}" name="Entregas" dataDxfId="1393">
      <calculatedColumnFormula>IFERROR(VLOOKUP(A3,'03114902'!A:X,24,0),"")</calculatedColumnFormula>
    </tableColumn>
    <tableColumn id="11" xr3:uid="{00000000-0010-0000-0500-00000B000000}" name="Cidades +Entregas" dataDxfId="1392">
      <calculatedColumnFormula>VLOOKUP(A3,'03114902'!A:AM,39,0)</calculatedColumnFormula>
    </tableColumn>
    <tableColumn id="19" xr3:uid="{00000000-0010-0000-0500-000013000000}" name="Região +Entregas" dataDxfId="1391">
      <calculatedColumnFormula>VLOOKUP(A3,'03114902'!A:AN,40,0)</calculatedColumnFormula>
    </tableColumn>
    <tableColumn id="13" xr3:uid="{00000000-0010-0000-0500-00000D000000}" name="KM Prev." dataDxfId="1390">
      <calculatedColumnFormula>VLOOKUP(A3,'03114902'!A:V,22,0)</calculatedColumnFormula>
    </tableColumn>
    <tableColumn id="14" xr3:uid="{00000000-0010-0000-0500-00000E000000}" name="Tempo Prev." dataDxfId="1389">
      <calculatedColumnFormula>VLOOKUP(A3,'03114902'!A:W,23,0)</calculatedColumnFormula>
    </tableColumn>
    <tableColumn id="15" xr3:uid="{00000000-0010-0000-0500-00000F000000}" name="Tot. caixas" dataDxfId="1388">
      <calculatedColumnFormula>VLOOKUP(A3,'03114902'!A:Y,25,0)</calculatedColumnFormula>
    </tableColumn>
    <tableColumn id="16" xr3:uid="{00000000-0010-0000-0500-000010000000}" name="Ocupação (%)" dataDxfId="1387">
      <calculatedColumnFormula>VLOOKUP(A3,'03114902'!A:Z,26,0)</calculatedColumnFormula>
    </tableColumn>
    <tableColumn id="18" xr3:uid="{00000000-0010-0000-0500-000012000000}" name="Peso total" dataDxfId="1386">
      <calculatedColumnFormula>VLOOKUP(A3,'03114902'!A:AA,27,0)</calculatedColumnFormula>
    </tableColumn>
    <tableColumn id="17" xr3:uid="{00000000-0010-0000-0500-000011000000}" name="Ocup. Peso (%)" dataDxfId="1385">
      <calculatedColumnFormula>VLOOKUP(A3,'03114902'!A:AB,28,0)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12" displayName="Tabela12" ref="B4:K14" totalsRowShown="0" headerRowDxfId="1342" dataDxfId="1341" headerRowBorderDxfId="1339" tableBorderDxfId="1340" totalsRowBorderDxfId="1338">
  <tableColumns count="10">
    <tableColumn id="1" xr3:uid="{00000000-0010-0000-0600-000001000000}" name="ID" dataDxfId="1337"/>
    <tableColumn id="2" xr3:uid="{00000000-0010-0000-0600-000002000000}" name="PLACA" dataDxfId="1336"/>
    <tableColumn id="3" xr3:uid="{00000000-0010-0000-0600-000003000000}" name="COD" dataDxfId="1335"/>
    <tableColumn id="4" xr3:uid="{00000000-0010-0000-0600-000004000000}" name="ID2" dataDxfId="1334"/>
    <tableColumn id="5" xr3:uid="{00000000-0010-0000-0600-000005000000}" name="MOTORISTA" dataDxfId="1333">
      <calculatedColumnFormula>IFERROR(VLOOKUP(E5,depara!A:B,2,0),"")</calculatedColumnFormula>
    </tableColumn>
    <tableColumn id="6" xr3:uid="{00000000-0010-0000-0600-000006000000}" name="ID3" dataDxfId="1332"/>
    <tableColumn id="7" xr3:uid="{00000000-0010-0000-0600-000007000000}" name="AJUDANTE" dataDxfId="1331">
      <calculatedColumnFormula>IFERROR(IFERROR(VLOOKUP(G5,depara!C:D,2,0),VLOOKUP(G5,depara!A:B,2,0)),"")</calculatedColumnFormula>
    </tableColumn>
    <tableColumn id="8" xr3:uid="{00000000-0010-0000-0600-000008000000}" name="SAIU?" dataDxfId="1330">
      <calculatedColumnFormula>VLOOKUP(C5,'03114902'!B:B,1,0)</calculatedColumnFormula>
    </tableColumn>
    <tableColumn id="9" xr3:uid="{ADFD0657-F0C6-41C8-84F4-9969A8F5D13F}" name="REGIAO" dataDxfId="1329">
      <calculatedColumnFormula>IFERROR(VLOOKUP(Tabela12[[#This Row],[COD]],depara!R:S,2,FALSE),"")</calculatedColumnFormula>
    </tableColumn>
    <tableColumn id="10" xr3:uid="{294EB7C6-191F-478C-80C5-C2A97028929F}" name="TIPO" dataDxfId="1328">
      <calculatedColumnFormula>IFERROR(IF(VLOOKUP(Tabela12[[#This Row],[PLACA]],'03114902'!B:U,20,FALSE) = "", "", VLOOKUP(Tabela12[[#This Row],[PLACA]],'03114902'!B:U,20,FALSE)),"")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ela13" displayName="Tabela13" ref="B16:K31" totalsRowShown="0" headerRowDxfId="1327" dataDxfId="1326" headerRowBorderDxfId="1324" tableBorderDxfId="1325" totalsRowBorderDxfId="1323">
  <tableColumns count="10">
    <tableColumn id="1" xr3:uid="{00000000-0010-0000-0700-000001000000}" name="ID" dataDxfId="1322"/>
    <tableColumn id="2" xr3:uid="{00000000-0010-0000-0700-000002000000}" name="PLACA" dataDxfId="1321"/>
    <tableColumn id="3" xr3:uid="{00000000-0010-0000-0700-000003000000}" name="COD" dataDxfId="1320"/>
    <tableColumn id="4" xr3:uid="{00000000-0010-0000-0700-000004000000}" name="ID2" dataDxfId="1319"/>
    <tableColumn id="5" xr3:uid="{00000000-0010-0000-0700-000005000000}" name="MOTORISTA" dataDxfId="1318">
      <calculatedColumnFormula>IFERROR(VLOOKUP(E17,depara!A:B,2,0),"")</calculatedColumnFormula>
    </tableColumn>
    <tableColumn id="6" xr3:uid="{00000000-0010-0000-0700-000006000000}" name="ID3" dataDxfId="1317"/>
    <tableColumn id="7" xr3:uid="{00000000-0010-0000-0700-000007000000}" name="AJUDANTE" dataDxfId="1316">
      <calculatedColumnFormula>IFERROR(IFERROR(VLOOKUP(G17,depara!C:D,2,0),VLOOKUP(G17,depara!A:B,2,0)),"")</calculatedColumnFormula>
    </tableColumn>
    <tableColumn id="8" xr3:uid="{00000000-0010-0000-0700-000008000000}" name="SAIU?" dataDxfId="1315">
      <calculatedColumnFormula>VLOOKUP(C17,'03114902'!B:B,1,0)</calculatedColumnFormula>
    </tableColumn>
    <tableColumn id="9" xr3:uid="{75D3D970-2E24-435B-A567-438C9E4454A6}" name="REGIAO" dataDxfId="1314">
      <calculatedColumnFormula>IFERROR(VLOOKUP(Tabela13[[#This Row],[COD]],depara!R:S,2,FALSE),"")</calculatedColumnFormula>
    </tableColumn>
    <tableColumn id="10" xr3:uid="{5E844DF4-3801-4DD5-B95B-2EEE066C2F4A}" name="TIPO" dataDxfId="1313">
      <calculatedColumnFormula>IFERROR(IF(VLOOKUP(Tabela13[[#This Row],[PLACA]],'03114902'!B:U,20,FALSE) = "", "", VLOOKUP(Tabela13[[#This Row],[PLACA]],'03114902'!B:U,20,FALSE)),"")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14" displayName="Tabela14" ref="B33:I35" totalsRowShown="0" headerRowDxfId="1312" dataDxfId="1311" headerRowBorderDxfId="1309" tableBorderDxfId="1310" totalsRowBorderDxfId="1308">
  <tableColumns count="8">
    <tableColumn id="1" xr3:uid="{00000000-0010-0000-0800-000001000000}" name="ID" dataDxfId="1307"/>
    <tableColumn id="2" xr3:uid="{00000000-0010-0000-0800-000002000000}" name="PLACA" dataDxfId="1306"/>
    <tableColumn id="3" xr3:uid="{00000000-0010-0000-0800-000003000000}" name="COD" dataDxfId="1305"/>
    <tableColumn id="4" xr3:uid="{00000000-0010-0000-0800-000004000000}" name="ID2" dataDxfId="1304"/>
    <tableColumn id="5" xr3:uid="{00000000-0010-0000-0800-000005000000}" name="MOTORISTA" dataDxfId="1303">
      <calculatedColumnFormula>IFERROR(VLOOKUP(E34,depara!A:B,2,0),"")</calculatedColumnFormula>
    </tableColumn>
    <tableColumn id="6" xr3:uid="{00000000-0010-0000-0800-000006000000}" name="ID3" dataDxfId="1302"/>
    <tableColumn id="7" xr3:uid="{00000000-0010-0000-0800-000007000000}" name="AJUDANTE" dataDxfId="1301">
      <calculatedColumnFormula>IFERROR(IFERROR(VLOOKUP(G34,depara!C:D,2,0),VLOOKUP(G34,depara!A:B,2,0)),"")</calculatedColumnFormula>
    </tableColumn>
    <tableColumn id="8" xr3:uid="{00000000-0010-0000-0800-000008000000}" name="SAIU?" dataDxfId="1300">
      <calculatedColumnFormula>VLOOKUP(C34,'03114902'!B:B,1,0)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abela15" displayName="Tabela15" ref="B37:I41" totalsRowShown="0" headerRowDxfId="1299" dataDxfId="1298" headerRowBorderDxfId="1296" tableBorderDxfId="1297" totalsRowBorderDxfId="1295">
  <tableColumns count="8">
    <tableColumn id="1" xr3:uid="{00000000-0010-0000-0900-000001000000}" name="ID" dataDxfId="1294"/>
    <tableColumn id="2" xr3:uid="{00000000-0010-0000-0900-000002000000}" name="PLACA" dataDxfId="1293"/>
    <tableColumn id="3" xr3:uid="{00000000-0010-0000-0900-000003000000}" name="COD" dataDxfId="1292"/>
    <tableColumn id="4" xr3:uid="{00000000-0010-0000-0900-000004000000}" name="ID2" dataDxfId="1291"/>
    <tableColumn id="5" xr3:uid="{00000000-0010-0000-0900-000005000000}" name="MOTORISTA" dataDxfId="1290">
      <calculatedColumnFormula>IFERROR(VLOOKUP(E38,depara!A:B,2,0),"")</calculatedColumnFormula>
    </tableColumn>
    <tableColumn id="6" xr3:uid="{00000000-0010-0000-0900-000006000000}" name="ID3" dataDxfId="1289"/>
    <tableColumn id="7" xr3:uid="{00000000-0010-0000-0900-000007000000}" name="AJUDANTE" dataDxfId="1288">
      <calculatedColumnFormula>IFERROR(IFERROR(VLOOKUP(G38,depara!C:D,2,0),VLOOKUP(G38,depara!A:B,2,0)),"")</calculatedColumnFormula>
    </tableColumn>
    <tableColumn id="8" xr3:uid="{00000000-0010-0000-0900-000008000000}" name="SAIU?" dataDxfId="1287">
      <calculatedColumnFormula>VLOOKUP(C38,'03114902'!B:B,1,0)</calculatedColumnFormula>
    </tableColumn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16" displayName="Tabela16" ref="B44:I63" totalsRowShown="0" headerRowDxfId="1286" dataDxfId="1285" headerRowBorderDxfId="1283" tableBorderDxfId="1284" totalsRowBorderDxfId="1282">
  <autoFilter ref="B44:I63" xr:uid="{00000000-0009-0000-0100-000010000000}"/>
  <tableColumns count="8">
    <tableColumn id="1" xr3:uid="{00000000-0010-0000-0A00-000001000000}" name="ID" dataDxfId="1281"/>
    <tableColumn id="2" xr3:uid="{00000000-0010-0000-0A00-000002000000}" name="PLACA" dataDxfId="1280"/>
    <tableColumn id="3" xr3:uid="{00000000-0010-0000-0A00-000003000000}" name="COD" dataDxfId="1279"/>
    <tableColumn id="4" xr3:uid="{00000000-0010-0000-0A00-000004000000}" name="ID2" dataDxfId="1278"/>
    <tableColumn id="5" xr3:uid="{00000000-0010-0000-0A00-000005000000}" name="MOTORISTA" dataDxfId="1277">
      <calculatedColumnFormula>IFERROR(VLOOKUP(E45,depara!O:P,2,0),"")</calculatedColumnFormula>
    </tableColumn>
    <tableColumn id="6" xr3:uid="{00000000-0010-0000-0A00-000006000000}" name="ID3" dataDxfId="1276"/>
    <tableColumn id="7" xr3:uid="{00000000-0010-0000-0A00-000007000000}" name="AJUDANTE" dataDxfId="1275"/>
    <tableColumn id="8" xr3:uid="{00000000-0010-0000-0A00-000008000000}" name="SAIU?" dataDxfId="1274">
      <calculatedColumnFormula>VLOOKUP(C45,'03114902'!O:O,1,0)</calculatedColumnFormula>
    </tableColumn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Tabela18" displayName="Tabela18" ref="R4:Y11" totalsRowShown="0" headerRowDxfId="1273" dataDxfId="1272" headerRowBorderDxfId="1270" tableBorderDxfId="1271" totalsRowBorderDxfId="1269">
  <tableColumns count="8">
    <tableColumn id="1" xr3:uid="{00000000-0010-0000-0B00-000001000000}" name="ID" dataDxfId="1268"/>
    <tableColumn id="2" xr3:uid="{00000000-0010-0000-0B00-000002000000}" name="MOTORISTA" dataDxfId="1267">
      <calculatedColumnFormula>IFERROR(VLOOKUP(R5,depara!A:B,2,0),"")</calculatedColumnFormula>
    </tableColumn>
    <tableColumn id="6" xr3:uid="{00000000-0010-0000-0B00-000006000000}" name="DATA INICIAL" dataDxfId="1266"/>
    <tableColumn id="7" xr3:uid="{00000000-0010-0000-0B00-000007000000}" name="RETORNO" dataDxfId="1265">
      <calculatedColumnFormula>IF(Tabela18[[#This Row],[DATA INICIAL]] = "","",Tabela18[[#This Row],[DATA INICIAL]]+30)</calculatedColumnFormula>
    </tableColumn>
    <tableColumn id="3" xr3:uid="{00000000-0010-0000-0B00-000003000000}" name="ID2" dataDxfId="1264"/>
    <tableColumn id="4" xr3:uid="{00000000-0010-0000-0B00-000004000000}" name="AJUDANTE" dataDxfId="1263">
      <calculatedColumnFormula>IFERROR(VLOOKUP(V5,depara!C:D,2,0),"")</calculatedColumnFormula>
    </tableColumn>
    <tableColumn id="8" xr3:uid="{00000000-0010-0000-0B00-000008000000}" name="DATA INICIAL2" dataDxfId="1262"/>
    <tableColumn id="9" xr3:uid="{00000000-0010-0000-0B00-000009000000}" name="RETORNO2" dataDxfId="1261">
      <calculatedColumnFormula>IF(Tabela18[[#This Row],[DATA INICIAL2]] = "","",Tabela18[[#This Row],[DATA INICIAL2]]+30)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Tabela19" displayName="Tabela19" ref="M4:P22" totalsRowShown="0" headerRowDxfId="1260" dataDxfId="1259" headerRowBorderDxfId="1257" tableBorderDxfId="1258" totalsRowBorderDxfId="1256">
  <tableColumns count="4">
    <tableColumn id="1" xr3:uid="{00000000-0010-0000-0C00-000001000000}" name="ID" dataDxfId="1255"/>
    <tableColumn id="2" xr3:uid="{00000000-0010-0000-0C00-000002000000}" name="MOTORISTA" dataDxfId="1254">
      <calculatedColumnFormula>IFERROR(VLOOKUP(M5,depara!A:B,2,0),"")</calculatedColumnFormula>
    </tableColumn>
    <tableColumn id="3" xr3:uid="{00000000-0010-0000-0C00-000003000000}" name="ID2" dataDxfId="1253"/>
    <tableColumn id="4" xr3:uid="{00000000-0010-0000-0C00-000004000000}" name="AJUDANTE" dataDxfId="1252">
      <calculatedColumnFormula>IFERROR(VLOOKUP(O5,depara!C:D,2,0),"")</calculatedColumnFormula>
    </tableColumn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5E619D-8FF3-4757-9B7E-712CE4681F42}" name="Tabela7" displayName="Tabela7" ref="M24:P35" totalsRowShown="0" headerRowDxfId="1251" dataDxfId="1250" headerRowBorderDxfId="1248" tableBorderDxfId="1249" totalsRowBorderDxfId="1247">
  <autoFilter ref="M24:P35" xr:uid="{755E619D-8FF3-4757-9B7E-712CE4681F42}"/>
  <tableColumns count="4">
    <tableColumn id="1" xr3:uid="{B3D62BF3-D6BB-4E7A-8C5E-8CC8917DCA97}" name="SUM" dataDxfId="1246">
      <calculatedColumnFormula>COUNTIF(J5:J31,Tabela7[[#This Row],[REGIÃO]])</calculatedColumnFormula>
    </tableColumn>
    <tableColumn id="2" xr3:uid="{9708D154-4BD3-4FEF-9F5D-D19071BD1206}" name="REGIÃO" dataDxfId="1245"/>
    <tableColumn id="3" xr3:uid="{1FB1AAE0-B8B9-4DB5-8956-2A26447ADA2E}" name="SUM2" dataDxfId="1244">
      <calculatedColumnFormula>COUNTIF(J5:J31,Tabela7[[#This Row],[REGIÃO3]])</calculatedColumnFormula>
    </tableColumn>
    <tableColumn id="4" xr3:uid="{21D811E5-E1AC-486F-96CD-7870814BDCBC}" name="REGIÃO3" dataDxfId="1243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Tabela1" displayName="Tabela1" ref="A1:AP58" totalsRowShown="0">
  <autoFilter ref="A1:AP58" xr:uid="{00000000-000C-0000-FFFF-FFFF0D000000}">
    <filterColumn colId="14">
      <filters>
        <filter val="FCA8737"/>
        <filter val="GIU0950"/>
      </filters>
    </filterColumn>
  </autoFilter>
  <tableColumns count="42">
    <tableColumn id="1" xr3:uid="{00000000-0010-0000-0D00-000001000000}" name="Map" dataDxfId="1242"/>
    <tableColumn id="45" xr3:uid="{00000000-0010-0000-0D00-00002D000000}" name="Plate" dataDxfId="1241">
      <calculatedColumnFormula>IF(Tabela1[[#This Row],[Placa]] = "VSP0001",FIDELIZAÇÃO!$C$34,IF(Tabela1[[#This Row],[Placa]] = "", "", Tabela1[[#This Row],[Placa]]))</calculatedColumnFormula>
    </tableColumn>
    <tableColumn id="2" xr3:uid="{00000000-0010-0000-0D00-000002000000}" name="UNB" dataDxfId="1240"/>
    <tableColumn id="3" xr3:uid="{00000000-0010-0000-0D00-000003000000}" name="Nome UNB" dataDxfId="1239"/>
    <tableColumn id="4" xr3:uid="{00000000-0010-0000-0D00-000004000000}" name="Transportadora" dataDxfId="1238"/>
    <tableColumn id="5" xr3:uid="{00000000-0010-0000-0D00-000005000000}" name="Nome Transportadora" dataDxfId="1237"/>
    <tableColumn id="6" xr3:uid="{00000000-0010-0000-0D00-000006000000}" name="Data Entrega" dataDxfId="1236"/>
    <tableColumn id="7" xr3:uid="{00000000-0010-0000-0D00-000007000000}" name="Roteirizado" dataDxfId="1235"/>
    <tableColumn id="8" xr3:uid="{00000000-0010-0000-0D00-000008000000}" name="Nro do Mapa" dataDxfId="1234"/>
    <tableColumn id="9" xr3:uid="{00000000-0010-0000-0D00-000009000000}" name="Nro do RoadShow" dataDxfId="1233"/>
    <tableColumn id="10" xr3:uid="{00000000-0010-0000-0D00-00000A000000}" name="Hora Imp Roadshow" dataDxfId="1232"/>
    <tableColumn id="11" xr3:uid="{00000000-0010-0000-0D00-00000B000000}" name="AS / Rota" dataDxfId="1231"/>
    <tableColumn id="12" xr3:uid="{00000000-0010-0000-0D00-00000C000000}" name="Armazém" dataDxfId="1230"/>
    <tableColumn id="13" xr3:uid="{00000000-0010-0000-0D00-00000D000000}" name="Veículo" dataDxfId="1229"/>
    <tableColumn id="14" xr3:uid="{00000000-0010-0000-0D00-00000E000000}" name="Placa" dataDxfId="1228"/>
    <tableColumn id="15" xr3:uid="{00000000-0010-0000-0D00-00000F000000}" name="Veiculo Substituto" dataDxfId="1227"/>
    <tableColumn id="16" xr3:uid="{00000000-0010-0000-0D00-000010000000}" name="Motorista" dataDxfId="1226"/>
    <tableColumn id="17" xr3:uid="{00000000-0010-0000-0D00-000011000000}" name="Carga" dataDxfId="1225"/>
    <tableColumn id="18" xr3:uid="{00000000-0010-0000-0D00-000012000000}" name="MPD" dataDxfId="1224"/>
    <tableColumn id="19" xr3:uid="{00000000-0010-0000-0D00-000013000000}" name="Hora MPD" dataDxfId="1223"/>
    <tableColumn id="20" xr3:uid="{00000000-0010-0000-0D00-000014000000}" name="Classificação" dataDxfId="1222"/>
    <tableColumn id="21" xr3:uid="{00000000-0010-0000-0D00-000015000000}" name="KM Prev." dataDxfId="1221"/>
    <tableColumn id="22" xr3:uid="{00000000-0010-0000-0D00-000016000000}" name="Tempo Prev. (+almoço)" dataDxfId="1220"/>
    <tableColumn id="23" xr3:uid="{00000000-0010-0000-0D00-000017000000}" name="Entregas" dataDxfId="1219"/>
    <tableColumn id="24" xr3:uid="{00000000-0010-0000-0D00-000018000000}" name="Total de caixas" dataDxfId="1218"/>
    <tableColumn id="25" xr3:uid="{00000000-0010-0000-0D00-000019000000}" name="% Ocupação Caixas" dataDxfId="1217"/>
    <tableColumn id="26" xr3:uid="{00000000-0010-0000-0D00-00001A000000}" name="Total peso" dataDxfId="1216"/>
    <tableColumn id="27" xr3:uid="{00000000-0010-0000-0D00-00001B000000}" name="% Ocupação Peso" dataDxfId="1215"/>
    <tableColumn id="28" xr3:uid="{00000000-0010-0000-0D00-00001C000000}" name="% Tempo" dataDxfId="1214"/>
    <tableColumn id="29" xr3:uid="{00000000-0010-0000-0D00-00001D000000}" name="% Eficiência" dataDxfId="1213"/>
    <tableColumn id="30" xr3:uid="{00000000-0010-0000-0D00-00001E000000}" name="Ação" dataDxfId="1212"/>
    <tableColumn id="31" xr3:uid="{00000000-0010-0000-0D00-00001F000000}" name="Mapas da Ação" dataDxfId="1211"/>
    <tableColumn id="32" xr3:uid="{00000000-0010-0000-0D00-000020000000}" name="Usuario" dataDxfId="1210"/>
    <tableColumn id="33" xr3:uid="{00000000-0010-0000-0D00-000021000000}" name="Data" dataDxfId="1209"/>
    <tableColumn id="34" xr3:uid="{00000000-0010-0000-0D00-000022000000}" name="Hora" dataDxfId="1208"/>
    <tableColumn id="35" xr3:uid="{00000000-0010-0000-0D00-000023000000}" name="Carga Atual" dataDxfId="1207"/>
    <tableColumn id="36" xr3:uid="{00000000-0010-0000-0D00-000024000000}" name="Excesso" dataDxfId="1206"/>
    <tableColumn id="37" xr3:uid="{00000000-0010-0000-0D00-000025000000}" name="Filial Origem" dataDxfId="1205"/>
    <tableColumn id="38" xr3:uid="{00000000-0010-0000-0D00-000026000000}" name="Cidades +Entregas" dataDxfId="1204"/>
    <tableColumn id="39" xr3:uid="{00000000-0010-0000-0D00-000027000000}" name="Região +Entregas" dataDxfId="1203"/>
    <tableColumn id="40" xr3:uid="{00000000-0010-0000-0D00-000028000000}" name="Clientes" dataDxfId="1202"/>
    <tableColumn id="41" xr3:uid="{00000000-0010-0000-0D00-000029000000}" name="Mapa Transbordo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2AE1B8-604C-42A1-84F6-308C8EF30246}" name="Tabela2" displayName="Tabela2" ref="B2:J24" totalsRowShown="0" headerRowDxfId="18" dataDxfId="17" tableBorderDxfId="16">
  <autoFilter ref="B2:J24" xr:uid="{9E2AE1B8-604C-42A1-84F6-308C8EF30246}"/>
  <tableColumns count="9">
    <tableColumn id="1" xr3:uid="{B8B30DAF-5930-4FF9-8BD3-8D3B55789E57}" name="Mapa" dataDxfId="15">
      <calculatedColumnFormula array="1">IFERROR(INDEX('03114902'!I:I, SMALL(IF('03114902'!U:U="Recarga", ROW('03114902'!U:U)), ROW(A1))), "")</calculatedColumnFormula>
    </tableColumn>
    <tableColumn id="2" xr3:uid="{D41A7012-D70E-4250-BF94-93C9888282A5}" name="Placa" dataDxfId="14">
      <calculatedColumnFormula>IFERROR(VLOOKUP(Tabela2[[#This Row],[Mapa]],'03114902'!I:O,7),"")</calculatedColumnFormula>
    </tableColumn>
    <tableColumn id="3" xr3:uid="{5EC32D67-C245-4617-94B0-640AE27485FB}" name="Cod." dataDxfId="13"/>
    <tableColumn id="4" xr3:uid="{C0399DA1-A279-4FBE-98A3-21E14C3949B1}" name="Motorista" dataDxfId="12"/>
    <tableColumn id="5" xr3:uid="{6F8144B4-2FA5-4114-9465-C0757D4E49C4}" name="Cod.2" dataDxfId="11"/>
    <tableColumn id="6" xr3:uid="{E5447A8E-0C35-48B4-A41E-3446C384E0A2}" name="Ajudante" dataDxfId="10"/>
    <tableColumn id="9" xr3:uid="{FF2B513C-B9F2-4F97-8D98-3BF75CAE542E}" name="Cod.3" dataDxfId="9"/>
    <tableColumn id="8" xr3:uid="{24229DFE-4397-434F-B14E-FCDC71AFE4B8}" name="Ajudante 2" dataDxfId="8"/>
    <tableColumn id="7" xr3:uid="{1D12090A-2CA4-4E29-9096-79D4094F14E1}" name="Saiu?" dataDxfId="7">
      <calculatedColumnFormula>IFERROR(IF(AND(INDEX('03.11.20'!B:B, MATCH(B3, '03.11.20'!A:A, 0)) = "Saida Cdd/Fab        "), "SIM", ""),"")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I299"/>
  <sheetViews>
    <sheetView showGridLines="0" tabSelected="1" zoomScale="85" zoomScaleNormal="85" workbookViewId="0">
      <selection activeCell="D19" sqref="D19:D29"/>
    </sheetView>
  </sheetViews>
  <sheetFormatPr defaultColWidth="9.140625" defaultRowHeight="15" outlineLevelCol="1"/>
  <cols>
    <col min="1" max="1" width="1.42578125" style="165" customWidth="1"/>
    <col min="2" max="2" width="10.140625" style="165" customWidth="1" outlineLevel="1"/>
    <col min="3" max="3" width="13.42578125" style="165" customWidth="1"/>
    <col min="4" max="4" width="9.5703125" style="165" bestFit="1" customWidth="1"/>
    <col min="5" max="5" width="9.140625" style="165" bestFit="1" customWidth="1"/>
    <col min="6" max="6" width="9.42578125" style="165" bestFit="1" customWidth="1"/>
    <col min="7" max="7" width="7.140625" style="165" customWidth="1"/>
    <col min="8" max="8" width="33.5703125" style="165" customWidth="1"/>
    <col min="9" max="9" width="7.140625" style="165" bestFit="1" customWidth="1"/>
    <col min="10" max="10" width="33.28515625" style="165" customWidth="1"/>
    <col min="11" max="11" width="6.42578125" style="165" customWidth="1"/>
    <col min="12" max="12" width="26" style="165" customWidth="1"/>
    <col min="13" max="13" width="29.42578125" style="165" customWidth="1"/>
    <col min="14" max="14" width="9.5703125" style="165" customWidth="1"/>
    <col min="15" max="15" width="11.28515625" style="165" customWidth="1"/>
    <col min="16" max="16" width="10" style="165" customWidth="1"/>
    <col min="17" max="17" width="11.7109375" style="165" customWidth="1"/>
    <col min="18" max="18" width="8.140625" style="165" customWidth="1"/>
    <col min="19" max="19" width="11.7109375" style="165" customWidth="1"/>
    <col min="20" max="16384" width="9.140625" style="165"/>
  </cols>
  <sheetData>
    <row r="1" spans="2:19" ht="26.25" customHeight="1">
      <c r="C1" s="166" t="s">
        <v>0</v>
      </c>
      <c r="Q1" s="289">
        <f>'03114902'!G2</f>
        <v>46297</v>
      </c>
      <c r="R1" s="289"/>
      <c r="S1" s="289"/>
    </row>
    <row r="2" spans="2:19" ht="24">
      <c r="C2" s="290" t="s">
        <v>1</v>
      </c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0"/>
    </row>
    <row r="3" spans="2:19" ht="15.75">
      <c r="B3" s="13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9" t="s">
        <v>8</v>
      </c>
      <c r="I3" s="9" t="s">
        <v>9</v>
      </c>
      <c r="J3" s="9" t="s">
        <v>10</v>
      </c>
      <c r="K3" s="9" t="s">
        <v>11</v>
      </c>
      <c r="L3" s="9" t="s">
        <v>12</v>
      </c>
      <c r="M3" s="9" t="s">
        <v>13</v>
      </c>
      <c r="N3" s="9" t="s">
        <v>14</v>
      </c>
      <c r="O3" s="14" t="s">
        <v>15</v>
      </c>
      <c r="P3" s="9" t="s">
        <v>16</v>
      </c>
      <c r="Q3" s="9" t="s">
        <v>17</v>
      </c>
      <c r="R3" s="9" t="s">
        <v>18</v>
      </c>
      <c r="S3" s="9" t="s">
        <v>19</v>
      </c>
    </row>
    <row r="4" spans="2:19" ht="15.75">
      <c r="B4" s="15" t="str">
        <f>IF(FIDELIZAÇÃO!C5 = "", "NA", FIDELIZAÇÃO!C5)</f>
        <v>FEU8905</v>
      </c>
      <c r="C4" s="156">
        <f>IFERROR(VLOOKUP(B4,'03114902'!B:G,6,0),"")</f>
        <v>46297</v>
      </c>
      <c r="D4" s="326" t="str">
        <f>IFERROR(VLOOKUP(B4,'03114902'!B:O,14,0),"")</f>
        <v>FEU8905</v>
      </c>
      <c r="E4" s="157">
        <f>IFERROR(VLOOKUP(B4,'03114902'!B:I,8,0),"")</f>
        <v>179806</v>
      </c>
      <c r="F4" s="163" t="str">
        <f>IFERROR(VLOOKUP(B4,'03114902'!B:L,11,0),"")</f>
        <v>Rota</v>
      </c>
      <c r="G4" s="163">
        <f>IFERROR(VLOOKUP(D4,FIDELIZAÇÃO!C:E,3,0),"")</f>
        <v>48</v>
      </c>
      <c r="H4" s="9" t="str">
        <f>IFERROR(VLOOKUP(G4,FIDELIZAÇÃO!E:F,2,0),"")</f>
        <v>SIDENEI GUERRA</v>
      </c>
      <c r="I4" s="163">
        <f>IFERROR(VLOOKUP(D4,FIDELIZAÇÃO!C:G,5,0),"")</f>
        <v>182</v>
      </c>
      <c r="J4" s="264" t="str">
        <f>IFERROR(VLOOKUP(I4,FIDELIZAÇÃO!G:H,2,0),"")</f>
        <v>PATRICK / 192 LUIS</v>
      </c>
      <c r="K4" s="163">
        <f>IFERROR(VLOOKUP(B4,'03114902'!B:X,23,0),"")</f>
        <v>24</v>
      </c>
      <c r="L4" s="9" t="str">
        <f>IFERROR(VLOOKUP(B4,'03114902'!B:AM,38,0),"")</f>
        <v>MATELANDIA (13) / CEU AZUL (6) / MEDIANEIRA (4) / VERA CRUZ DO OESTE (1)</v>
      </c>
      <c r="M4" s="9" t="str">
        <f>IFERROR(VLOOKUP(B4,'03114902'!B:AN,39,0),"")</f>
        <v>[MAT]: CENTRO (10) / LINHA ALEGRE (1) / CENTRO (1) / VILA NOVA (1) / [CEU]: CENTRO (2) / BOA VISTA (1) / NOVA UNIAO (1) / BAIRRO UNIAO (1) / CENTRO (1) / [MED]: CENTRO (2) / BELO HORIZONTE (2) / [VER]: CENTRO (1)</v>
      </c>
      <c r="N4" s="177">
        <f>IFERROR(VLOOKUP(B4,'03114902'!B:V,21,0),"")</f>
        <v>220.86</v>
      </c>
      <c r="O4" s="178">
        <f>IFERROR(VLOOKUP(B4,'03114902'!B:W,22,0),"")</f>
        <v>0.42638888888888887</v>
      </c>
      <c r="P4" s="163">
        <f>IFERROR(VLOOKUP(B4,'03114902'!B:Y,24,0),"")</f>
        <v>116.61</v>
      </c>
      <c r="Q4" s="180">
        <f>IFERROR(VLOOKUP(B4,'03114902'!B:Z,25,0) * 0.01,"")</f>
        <v>0.37859999999999999</v>
      </c>
      <c r="R4" s="163">
        <f>IFERROR(VLOOKUP(B4,'03114902'!B:AA,26,0),"")</f>
        <v>3048</v>
      </c>
      <c r="S4" s="181">
        <f>IFERROR(VLOOKUP(B4,'03114902'!B:AB,27,0) * 0.01,"")</f>
        <v>0.36499999999999999</v>
      </c>
    </row>
    <row r="5" spans="2:19" ht="15.75">
      <c r="B5" s="15" t="str">
        <f>IF(FIDELIZAÇÃO!C6 = "", "NA", FIDELIZAÇÃO!C6)</f>
        <v>GIU0950</v>
      </c>
      <c r="C5" s="156">
        <f>IFERROR(VLOOKUP(B5,'03114902'!B:G,6,0),"")</f>
        <v>46297</v>
      </c>
      <c r="D5" s="326" t="str">
        <f>IFERROR(VLOOKUP(B5,'03114902'!B:O,14,0),"")</f>
        <v>GIU0950</v>
      </c>
      <c r="E5" s="157">
        <f>IFERROR(VLOOKUP(B5,'03114902'!B:I,8,0),"")</f>
        <v>179805</v>
      </c>
      <c r="F5" s="163" t="str">
        <f>IFERROR(VLOOKUP(B5,'03114902'!B:L,11,0),"")</f>
        <v>Rota</v>
      </c>
      <c r="G5" s="163">
        <f>IFERROR(VLOOKUP(D5,FIDELIZAÇÃO!C:E,3,0),"")</f>
        <v>161</v>
      </c>
      <c r="H5" s="9" t="str">
        <f>IFERROR(VLOOKUP(G5,FIDELIZAÇÃO!E:F,2,0),"")</f>
        <v>ELSO VAZ DE OLIVEIRA</v>
      </c>
      <c r="I5" s="163">
        <f>IFERROR(VLOOKUP(D5,FIDELIZAÇÃO!C:G,5,0),"")</f>
        <v>161</v>
      </c>
      <c r="J5" s="264" t="str">
        <f>IFERROR(VLOOKUP(I5,FIDELIZAÇÃO!G:H,2,0),"")</f>
        <v>DAVID / 153 LUCAS</v>
      </c>
      <c r="K5" s="163">
        <f>IFERROR(VLOOKUP(B5,'03114902'!B:X,23,0),"")</f>
        <v>23</v>
      </c>
      <c r="L5" s="9" t="str">
        <f>IFERROR(VLOOKUP(B5,'03114902'!B:AM,38,0),"")</f>
        <v>MEDIANEIRA (13) / SERRANOPOLIS DO IGUACU (10)</v>
      </c>
      <c r="M5" s="9" t="str">
        <f>IFERROR(VLOOKUP(B5,'03114902'!B:AN,39,0),"")</f>
        <v>[MED]: CENTRO (5) / IPE (3) / CIDADE ALTA (2) / ALVORAVA (1) / CENTRO (1) / NAZARE (1) / [SER]: CENTRO (5) / FLOR DA SERRA (3) / JARDINOPOLIS (2)</v>
      </c>
      <c r="N5" s="177">
        <f>IFERROR(VLOOKUP(B5,'03114902'!B:V,21,0),"")</f>
        <v>154.16999999999999</v>
      </c>
      <c r="O5" s="178">
        <f>IFERROR(VLOOKUP(B5,'03114902'!B:W,22,0),"")</f>
        <v>0.43680555555555556</v>
      </c>
      <c r="P5" s="163">
        <f>IFERROR(VLOOKUP(B5,'03114902'!B:Y,24,0),"")</f>
        <v>156.29</v>
      </c>
      <c r="Q5" s="180">
        <f>IFERROR(VLOOKUP(B5,'03114902'!B:Z,25,0) * 0.01,"")</f>
        <v>0.50740000000000007</v>
      </c>
      <c r="R5" s="163">
        <f>IFERROR(VLOOKUP(B5,'03114902'!B:AA,26,0),"")</f>
        <v>4082</v>
      </c>
      <c r="S5" s="181">
        <f>IFERROR(VLOOKUP(B5,'03114902'!B:AB,27,0) * 0.01,"")</f>
        <v>0.48880000000000001</v>
      </c>
    </row>
    <row r="6" spans="2:19" ht="15" customHeight="1">
      <c r="B6" s="15" t="str">
        <f>IF(FIDELIZAÇÃO!C7 = "", "NA", FIDELIZAÇÃO!C7)</f>
        <v>QJU2428</v>
      </c>
      <c r="C6" s="156">
        <f>IFERROR(VLOOKUP(B6,'03114902'!B:G,6,0),"")</f>
        <v>46297</v>
      </c>
      <c r="D6" s="326" t="str">
        <f>IFERROR(VLOOKUP(B6,'03114902'!B:O,14,0),"")</f>
        <v>QJU2428</v>
      </c>
      <c r="E6" s="157">
        <f>IFERROR(VLOOKUP(B6,'03114902'!B:I,8,0),"")</f>
        <v>179810</v>
      </c>
      <c r="F6" s="163" t="str">
        <f>IFERROR(VLOOKUP(B6,'03114902'!B:L,11,0),"")</f>
        <v>Rota</v>
      </c>
      <c r="G6" s="163">
        <f>IFERROR(VLOOKUP(D6,FIDELIZAÇÃO!C:E,3,0),"")</f>
        <v>2</v>
      </c>
      <c r="H6" s="9" t="str">
        <f>IFERROR(VLOOKUP(G6,FIDELIZAÇÃO!E:F,2,0),"")</f>
        <v>ADAIR DE ALMEIDA</v>
      </c>
      <c r="I6" s="163">
        <f>IFERROR(VLOOKUP(D6,FIDELIZAÇÃO!C:G,5,0),"")</f>
        <v>0</v>
      </c>
      <c r="J6" s="9" t="str">
        <f>IFERROR(VLOOKUP(I6,FIDELIZAÇÃO!G:H,2,0),"")</f>
        <v/>
      </c>
      <c r="K6" s="163">
        <f>IFERROR(VLOOKUP(B6,'03114902'!B:X,23,0),"")</f>
        <v>1</v>
      </c>
      <c r="L6" s="9" t="str">
        <f>IFERROR(VLOOKUP(B6,'03114902'!B:AM,38,0),"")</f>
        <v>MEDIANEIRA (1)</v>
      </c>
      <c r="M6" s="9" t="str">
        <f>IFERROR(VLOOKUP(B6,'03114902'!B:AN,39,0),"")</f>
        <v>[MED]: ITAIPU (1)</v>
      </c>
      <c r="N6" s="177">
        <f>IFERROR(VLOOKUP(B6,'03114902'!B:V,21,0),"")</f>
        <v>100.54</v>
      </c>
      <c r="O6" s="178">
        <f>IFERROR(VLOOKUP(B6,'03114902'!B:W,22,0),"")</f>
        <v>0.25138888888888888</v>
      </c>
      <c r="P6" s="163">
        <f>IFERROR(VLOOKUP(B6,'03114902'!B:Y,24,0),"")</f>
        <v>367.82</v>
      </c>
      <c r="Q6" s="180">
        <f>IFERROR(VLOOKUP(B6,'03114902'!B:Z,25,0) * 0.01,"")</f>
        <v>0.97299999999999998</v>
      </c>
      <c r="R6" s="163">
        <f>IFERROR(VLOOKUP(B6,'03114902'!B:AA,26,0),"")</f>
        <v>8856</v>
      </c>
      <c r="S6" s="226">
        <f>IFERROR(VLOOKUP(B6,'03114902'!B:AB,27,0) * 0.01,"")</f>
        <v>0.70620000000000005</v>
      </c>
    </row>
    <row r="7" spans="2:19" ht="15.75">
      <c r="B7" s="15" t="str">
        <f>IF(FIDELIZAÇÃO!C8 = "", "NA", FIDELIZAÇÃO!C8)</f>
        <v>FUE8714</v>
      </c>
      <c r="C7" s="156">
        <f>IFERROR(VLOOKUP(B7,'03114902'!B:G,6,0),"")</f>
        <v>46297</v>
      </c>
      <c r="D7" s="326" t="str">
        <f>IFERROR(VLOOKUP(B7,'03114902'!B:O,14,0),"")</f>
        <v>FUE8714</v>
      </c>
      <c r="E7" s="157">
        <f>IFERROR(VLOOKUP(B7,'03114902'!B:I,8,0),"")</f>
        <v>179807</v>
      </c>
      <c r="F7" s="163" t="str">
        <f>IFERROR(VLOOKUP(B7,'03114902'!B:L,11,0),"")</f>
        <v>Rota</v>
      </c>
      <c r="G7" s="163">
        <f>IFERROR(VLOOKUP(D7,FIDELIZAÇÃO!C:E,3,0),"")</f>
        <v>14</v>
      </c>
      <c r="H7" s="9" t="str">
        <f>IFERROR(VLOOKUP(G7,FIDELIZAÇÃO!E:F,2,0),"")</f>
        <v>OSMAR ANTONIO CAMARGO</v>
      </c>
      <c r="I7" s="163">
        <f>IFERROR(VLOOKUP(D7,FIDELIZAÇÃO!C:G,5,0),"")</f>
        <v>269</v>
      </c>
      <c r="J7" s="264" t="str">
        <f>IFERROR(VLOOKUP(I7,FIDELIZAÇÃO!G:H,2,0),"")</f>
        <v>RAFAEL / 193 JOEMIR</v>
      </c>
      <c r="K7" s="163">
        <f>IFERROR(VLOOKUP(B7,'03114902'!B:X,23,0),"")</f>
        <v>18</v>
      </c>
      <c r="L7" s="9" t="str">
        <f>IFERROR(VLOOKUP(B7,'03114902'!B:AM,38,0),"")</f>
        <v>MEDIANEIRA (13) / MISSAL (2) / SAO MIGUEL DO IGUACU (2) / SANTA TEREZINHA DE ITAIPU (1)</v>
      </c>
      <c r="M7" s="9" t="str">
        <f>IFERROR(VLOOKUP(B7,'03114902'!B:AN,39,0),"")</f>
        <v>[MED]: ITAIPU (3) / SAO CRISTOVAO (3) / CENTRO (2) / JARDIM IRENE (1) / AREA RURAL MEDIANEIRA (1) / AREA RURAL MARALUCIA (1) / BOM JESUS (1) / PARQUE INDEPENDENCIA (1) / [MIS]: CENTRO (1) / PORTAO DO OCOI (1) / [SAO]: CENTRO (1) / SAO JORGE (1) / [SAN]: CENTRO (1)</v>
      </c>
      <c r="N7" s="177">
        <f>IFERROR(VLOOKUP(B7,'03114902'!B:V,21,0),"")</f>
        <v>174.97</v>
      </c>
      <c r="O7" s="178">
        <f>IFERROR(VLOOKUP(B7,'03114902'!B:W,22,0),"")</f>
        <v>0.43125000000000002</v>
      </c>
      <c r="P7" s="163">
        <f>IFERROR(VLOOKUP(B7,'03114902'!B:Y,24,0),"")</f>
        <v>134.82</v>
      </c>
      <c r="Q7" s="180">
        <f>IFERROR(VLOOKUP(B7,'03114902'!B:Z,25,0) * 0.01,"")</f>
        <v>0.43770000000000003</v>
      </c>
      <c r="R7" s="163">
        <f>IFERROR(VLOOKUP(B7,'03114902'!B:AA,26,0),"")</f>
        <v>3578</v>
      </c>
      <c r="S7" s="181">
        <f>IFERROR(VLOOKUP(B7,'03114902'!B:AB,27,0) * 0.01,"")</f>
        <v>0.42840000000000006</v>
      </c>
    </row>
    <row r="8" spans="2:19" ht="15" customHeight="1">
      <c r="B8" s="15" t="str">
        <f>IF(FIDELIZAÇÃO!C9 = "", "NA", FIDELIZAÇÃO!C9)</f>
        <v>FML6122</v>
      </c>
      <c r="C8" s="156">
        <f>IFERROR(VLOOKUP(B8,'03114902'!B:G,6,0),"")</f>
        <v>46297</v>
      </c>
      <c r="D8" s="326" t="str">
        <f>IFERROR(VLOOKUP(B8,'03114902'!B:O,14,0),"")</f>
        <v>FML6122</v>
      </c>
      <c r="E8" s="157">
        <f>IFERROR(VLOOKUP(B8,'03114902'!B:I,8,0),"")</f>
        <v>179801</v>
      </c>
      <c r="F8" s="163" t="str">
        <f>IFERROR(VLOOKUP(B8,'03114902'!B:L,11,0),"")</f>
        <v>Rota</v>
      </c>
      <c r="G8" s="163">
        <f>IFERROR(VLOOKUP(D8,FIDELIZAÇÃO!C:E,3,0),"")</f>
        <v>217</v>
      </c>
      <c r="H8" s="9" t="str">
        <f>IFERROR(VLOOKUP(G8,FIDELIZAÇÃO!E:F,2,0),"")</f>
        <v>FELIPE DE OLIVEIRA PORTO</v>
      </c>
      <c r="I8" s="163">
        <f>IFERROR(VLOOKUP(D8,FIDELIZAÇÃO!C:G,5,0),"")</f>
        <v>174</v>
      </c>
      <c r="J8" s="9" t="str">
        <f>IFERROR(VLOOKUP(I8,FIDELIZAÇÃO!G:H,2,0),"")</f>
        <v>RODRIGO FIRMINO DE ABREU</v>
      </c>
      <c r="K8" s="163">
        <f>IFERROR(VLOOKUP(B8,'03114902'!B:X,23,0),"")</f>
        <v>14</v>
      </c>
      <c r="L8" s="9" t="str">
        <f>IFERROR(VLOOKUP(B8,'03114902'!B:AM,38,0),"")</f>
        <v>SANTA HELENA (14)</v>
      </c>
      <c r="M8" s="9" t="str">
        <f>IFERROR(VLOOKUP(B8,'03114902'!B:AN,39,0),"")</f>
        <v>[SAN]: CENTRO (6) / DISTRITO DE VILA CELESTE (1) / DISTRITO DE SUB-SEDE SAO FRANCISCO (1) / MORENINHA (1) / VILA NOVA (1) / MORENINHA (1) / SAO CLEMENTE (1) / SUB SEDE (1) / VILA RICA (1)</v>
      </c>
      <c r="N8" s="177">
        <f>IFERROR(VLOOKUP(B8,'03114902'!B:V,21,0),"")</f>
        <v>272.41000000000003</v>
      </c>
      <c r="O8" s="178">
        <f>IFERROR(VLOOKUP(B8,'03114902'!B:W,22,0),"")</f>
        <v>0.43541666666666667</v>
      </c>
      <c r="P8" s="163">
        <f>IFERROR(VLOOKUP(B8,'03114902'!B:Y,24,0),"")</f>
        <v>140.53</v>
      </c>
      <c r="Q8" s="180">
        <f>IFERROR(VLOOKUP(B8,'03114902'!B:Z,25,0) * 0.01,"")</f>
        <v>0.45619999999999999</v>
      </c>
      <c r="R8" s="163">
        <f>IFERROR(VLOOKUP(B8,'03114902'!B:AA,26,0),"")</f>
        <v>3719</v>
      </c>
      <c r="S8" s="181">
        <f>IFERROR(VLOOKUP(B8,'03114902'!B:AB,27,0) * 0.01,"")</f>
        <v>0.46659999999999996</v>
      </c>
    </row>
    <row r="9" spans="2:19" ht="15.75">
      <c r="B9" s="15" t="str">
        <f>IF(FIDELIZAÇÃO!C10 = "", "NA", FIDELIZAÇÃO!C10)</f>
        <v>FCO7153</v>
      </c>
      <c r="C9" s="156">
        <f>IFERROR(VLOOKUP(B9,'03114902'!B:G,6,0),"")</f>
        <v>46297</v>
      </c>
      <c r="D9" s="326" t="str">
        <f>IFERROR(VLOOKUP(B9,'03114902'!B:O,14,0),"")</f>
        <v>FCO7153</v>
      </c>
      <c r="E9" s="157">
        <f>IFERROR(VLOOKUP(B9,'03114902'!B:I,8,0),"")</f>
        <v>179802</v>
      </c>
      <c r="F9" s="163" t="str">
        <f>IFERROR(VLOOKUP(B9,'03114902'!B:L,11,0),"")</f>
        <v>Rota</v>
      </c>
      <c r="G9" s="163">
        <f>IFERROR(VLOOKUP(D9,FIDELIZAÇÃO!C:E,3,0),"")</f>
        <v>15</v>
      </c>
      <c r="H9" s="9" t="str">
        <f>IFERROR(VLOOKUP(G9,FIDELIZAÇÃO!E:F,2,0),"")</f>
        <v>PAULO EDSON DE OLIVEIRA</v>
      </c>
      <c r="I9" s="163">
        <f>IFERROR(VLOOKUP(D9,FIDELIZAÇÃO!C:G,5,0),"")</f>
        <v>191</v>
      </c>
      <c r="J9" s="264" t="str">
        <f>IFERROR(VLOOKUP(I9,FIDELIZAÇÃO!G:H,2,0),"")</f>
        <v>LUCAS GONÇALVES / 120 EDSON</v>
      </c>
      <c r="K9" s="163">
        <f>IFERROR(VLOOKUP(B9,'03114902'!B:X,23,0),"")</f>
        <v>16</v>
      </c>
      <c r="L9" s="9" t="str">
        <f>IFERROR(VLOOKUP(B9,'03114902'!B:AM,38,0),"")</f>
        <v>SANTA HELENA (8) / ITAIPULANDIA (7) / SAO MIGUEL DO IGUACU (1)</v>
      </c>
      <c r="M9" s="9" t="str">
        <f>IFERROR(VLOOKUP(B9,'03114902'!B:AN,39,0),"")</f>
        <v>[SAN]: SAO ROQUE (4) / CENTRO (2) / DISTRITO DE SAO ROQUE (1) / DISTRITO SAO ROQUE (1) / [ITA]: CENTRO (4) / VILA CARAMURU (1) / CENTRO (1) / PIONEIROS (1) / [SAO]: CENTRO (1)</v>
      </c>
      <c r="N9" s="177">
        <f>IFERROR(VLOOKUP(B9,'03114902'!B:V,21,0),"")</f>
        <v>195.07</v>
      </c>
      <c r="O9" s="178">
        <f>IFERROR(VLOOKUP(B9,'03114902'!B:W,22,0),"")</f>
        <v>0.4201388888888889</v>
      </c>
      <c r="P9" s="163">
        <f>IFERROR(VLOOKUP(B9,'03114902'!B:Y,24,0),"")</f>
        <v>177</v>
      </c>
      <c r="Q9" s="180">
        <f>IFERROR(VLOOKUP(B9,'03114902'!B:Z,25,0) * 0.01,"")</f>
        <v>0.5746</v>
      </c>
      <c r="R9" s="163">
        <f>IFERROR(VLOOKUP(B9,'03114902'!B:AA,26,0),"")</f>
        <v>4498</v>
      </c>
      <c r="S9" s="181">
        <f>IFERROR(VLOOKUP(B9,'03114902'!B:AB,27,0) * 0.01,"")</f>
        <v>0.53859999999999997</v>
      </c>
    </row>
    <row r="10" spans="2:19" ht="15.75">
      <c r="B10" s="15" t="str">
        <f>IF(FIDELIZAÇÃO!C11 = "", "NA", FIDELIZAÇÃO!C11)</f>
        <v>NA</v>
      </c>
      <c r="C10" s="156" t="str">
        <f>IFERROR(VLOOKUP(B10,'03114902'!B:G,6,0),"")</f>
        <v/>
      </c>
      <c r="D10" s="157" t="str">
        <f>IFERROR(VLOOKUP(B10,'03114902'!B:O,14,0),"")</f>
        <v/>
      </c>
      <c r="E10" s="157" t="str">
        <f>IFERROR(VLOOKUP(B10,'03114902'!B:I,8,0),"")</f>
        <v/>
      </c>
      <c r="F10" s="163" t="str">
        <f>IFERROR(VLOOKUP(B10,'03114902'!B:L,11,0),"")</f>
        <v/>
      </c>
      <c r="G10" s="163" t="str">
        <f>IFERROR(VLOOKUP(D10,FIDELIZAÇÃO!C:E,3,0),"")</f>
        <v/>
      </c>
      <c r="H10" s="9" t="str">
        <f>IFERROR(VLOOKUP(G10,FIDELIZAÇÃO!E:F,2,0),"")</f>
        <v/>
      </c>
      <c r="I10" s="163" t="str">
        <f>IFERROR(VLOOKUP(D10,FIDELIZAÇÃO!C:G,5,0),"")</f>
        <v/>
      </c>
      <c r="J10" s="9" t="str">
        <f>IFERROR(VLOOKUP(I10,FIDELIZAÇÃO!G:H,2,0),"")</f>
        <v/>
      </c>
      <c r="K10" s="163" t="str">
        <f>IFERROR(VLOOKUP(B10,'03114902'!B:X,23,0),"")</f>
        <v/>
      </c>
      <c r="L10" s="9" t="str">
        <f>IFERROR(VLOOKUP(B10,'03114902'!B:AM,38,0),"")</f>
        <v/>
      </c>
      <c r="M10" s="9" t="str">
        <f>IFERROR(VLOOKUP(B10,'03114902'!B:AN,39,0),"")</f>
        <v/>
      </c>
      <c r="N10" s="177" t="str">
        <f>IFERROR(VLOOKUP(B10,'03114902'!B:V,21,0),"")</f>
        <v/>
      </c>
      <c r="O10" s="178" t="str">
        <f>IFERROR(VLOOKUP(B10,'03114902'!B:W,22,0),"")</f>
        <v/>
      </c>
      <c r="P10" s="163" t="str">
        <f>IFERROR(VLOOKUP(B10,'03114902'!B:Y,24,0),"")</f>
        <v/>
      </c>
      <c r="Q10" s="180" t="str">
        <f>IFERROR(VLOOKUP(B10,'03114902'!B:Z,25,0) * 0.01,"")</f>
        <v/>
      </c>
      <c r="R10" s="163" t="str">
        <f>IFERROR(VLOOKUP(B10,'03114902'!B:AA,26,0),"")</f>
        <v/>
      </c>
      <c r="S10" s="181" t="str">
        <f>IFERROR(VLOOKUP(B10,'03114902'!B:AB,27,0) * 0.01,"")</f>
        <v/>
      </c>
    </row>
    <row r="11" spans="2:19" ht="15.75">
      <c r="B11" s="15" t="str">
        <f>IF(FIDELIZAÇÃO!C12 = "", "NA", FIDELIZAÇÃO!C12)</f>
        <v>NA</v>
      </c>
      <c r="C11" s="156" t="str">
        <f>IFERROR(VLOOKUP(B11,'03114902'!B:G,6,0),"")</f>
        <v/>
      </c>
      <c r="D11" s="157" t="str">
        <f>IFERROR(VLOOKUP(B11,'03114902'!B:O,14,0),"")</f>
        <v/>
      </c>
      <c r="E11" s="157" t="str">
        <f>IFERROR(VLOOKUP(B11,'03114902'!B:I,8,0),"")</f>
        <v/>
      </c>
      <c r="F11" s="163" t="str">
        <f>IFERROR(VLOOKUP(B11,'03114902'!B:L,11,0),"")</f>
        <v/>
      </c>
      <c r="G11" s="163" t="str">
        <f>IFERROR(VLOOKUP(D11,FIDELIZAÇÃO!C:E,3,0),"")</f>
        <v/>
      </c>
      <c r="H11" s="9" t="str">
        <f>IFERROR(VLOOKUP(G11,FIDELIZAÇÃO!E:F,2,0),"")</f>
        <v/>
      </c>
      <c r="I11" s="163" t="str">
        <f>IFERROR(VLOOKUP(D11,FIDELIZAÇÃO!C:G,5,0),"")</f>
        <v/>
      </c>
      <c r="J11" s="9" t="str">
        <f>IFERROR(VLOOKUP(I11,FIDELIZAÇÃO!G:H,2,0),"")</f>
        <v/>
      </c>
      <c r="K11" s="163" t="str">
        <f>IFERROR(VLOOKUP(B11,'03114902'!B:X,23,0),"")</f>
        <v/>
      </c>
      <c r="L11" s="9" t="str">
        <f>IFERROR(VLOOKUP(B11,'03114902'!B:AM,38,0),"")</f>
        <v/>
      </c>
      <c r="M11" s="9" t="str">
        <f>IFERROR(VLOOKUP(B11,'03114902'!B:AN,39,0),"")</f>
        <v/>
      </c>
      <c r="N11" s="177" t="str">
        <f>IFERROR(VLOOKUP(B11,'03114902'!B:V,21,0),"")</f>
        <v/>
      </c>
      <c r="O11" s="178" t="str">
        <f>IFERROR(VLOOKUP(B11,'03114902'!B:W,22,0),"")</f>
        <v/>
      </c>
      <c r="P11" s="163" t="str">
        <f>IFERROR(VLOOKUP(B11,'03114902'!B:Y,24,0),"")</f>
        <v/>
      </c>
      <c r="Q11" s="180" t="str">
        <f>IFERROR(VLOOKUP(B11,'03114902'!B:Z,25,0) * 0.01,"")</f>
        <v/>
      </c>
      <c r="R11" s="163" t="str">
        <f>IFERROR(VLOOKUP(B11,'03114902'!B:AA,26,0),"")</f>
        <v/>
      </c>
      <c r="S11" s="181" t="str">
        <f>IFERROR(VLOOKUP(B11,'03114902'!B:AB,27,0) * 0.01,"")</f>
        <v/>
      </c>
    </row>
    <row r="12" spans="2:19" ht="15.75">
      <c r="B12" s="15" t="str">
        <f>IF(FIDELIZAÇÃO!C13 = "", "NA", FIDELIZAÇÃO!C13)</f>
        <v>NA</v>
      </c>
      <c r="C12" s="156" t="str">
        <f>IFERROR(VLOOKUP(B12,'03114902'!B:G,6,0),"")</f>
        <v/>
      </c>
      <c r="D12" s="157" t="str">
        <f>IFERROR(VLOOKUP(B12,'03114902'!B:O,14,0),"")</f>
        <v/>
      </c>
      <c r="E12" s="157" t="str">
        <f>IFERROR(VLOOKUP(B12,'03114902'!B:I,8,0),"")</f>
        <v/>
      </c>
      <c r="F12" s="163" t="str">
        <f>IFERROR(VLOOKUP(B12,'03114902'!B:L,11,0),"")</f>
        <v/>
      </c>
      <c r="G12" s="163" t="str">
        <f>IFERROR(VLOOKUP(D12,FIDELIZAÇÃO!C:E,3,0),"")</f>
        <v/>
      </c>
      <c r="H12" s="9" t="str">
        <f>IFERROR(VLOOKUP(G12,FIDELIZAÇÃO!E:F,2,0),"")</f>
        <v/>
      </c>
      <c r="I12" s="163" t="str">
        <f>IFERROR(VLOOKUP(D12,FIDELIZAÇÃO!C:G,5,0),"")</f>
        <v/>
      </c>
      <c r="J12" s="9" t="str">
        <f>IFERROR(VLOOKUP(I12,FIDELIZAÇÃO!G:H,2,0),"")</f>
        <v/>
      </c>
      <c r="K12" s="163" t="str">
        <f>IFERROR(VLOOKUP(B12,'03114902'!B:X,23,0),"")</f>
        <v/>
      </c>
      <c r="L12" s="9" t="str">
        <f>IFERROR(VLOOKUP(B12,'03114902'!B:AM,38,0),"")</f>
        <v/>
      </c>
      <c r="M12" s="9" t="str">
        <f>IFERROR(VLOOKUP(B12,'03114902'!B:AN,39,0),"")</f>
        <v/>
      </c>
      <c r="N12" s="177" t="str">
        <f>IFERROR(VLOOKUP(B12,'03114902'!B:V,21,0),"")</f>
        <v/>
      </c>
      <c r="O12" s="178" t="str">
        <f>IFERROR(VLOOKUP(B12,'03114902'!B:W,22,0),"")</f>
        <v/>
      </c>
      <c r="P12" s="163" t="str">
        <f>IFERROR(VLOOKUP(B12,'03114902'!B:Y,24,0),"")</f>
        <v/>
      </c>
      <c r="Q12" s="180" t="str">
        <f>IFERROR(VLOOKUP(B12,'03114902'!B:Z,25,0) * 0.01,"")</f>
        <v/>
      </c>
      <c r="R12" s="163" t="str">
        <f>IFERROR(VLOOKUP(B12,'03114902'!B:AA,26,0),"")</f>
        <v/>
      </c>
      <c r="S12" s="181" t="str">
        <f>IFERROR(VLOOKUP(B12,'03114902'!B:AB,27,0) * 0.01,"")</f>
        <v/>
      </c>
    </row>
    <row r="13" spans="2:19" ht="15.75" hidden="1">
      <c r="B13" s="15" t="str">
        <f>IF(FIDELIZAÇÃO!C14 = "", "NA", FIDELIZAÇÃO!C14)</f>
        <v>NA</v>
      </c>
      <c r="C13" s="156" t="str">
        <f>IFERROR(VLOOKUP(B13,'03114902'!B:G,6,0),"")</f>
        <v/>
      </c>
      <c r="D13" s="157" t="str">
        <f>IFERROR(VLOOKUP(B13,'03114902'!B:O,14,0),"")</f>
        <v/>
      </c>
      <c r="E13" s="157" t="str">
        <f>IFERROR(VLOOKUP(B13,'03114902'!B:I,8,0),"")</f>
        <v/>
      </c>
      <c r="F13" s="163" t="str">
        <f>IFERROR(VLOOKUP(B13,'03114902'!B:L,11,0),"")</f>
        <v/>
      </c>
      <c r="G13" s="163" t="str">
        <f>IFERROR(VLOOKUP(D13,FIDELIZAÇÃO!C:E,3,0),"")</f>
        <v/>
      </c>
      <c r="H13" s="9" t="str">
        <f>IFERROR(VLOOKUP(G13,FIDELIZAÇÃO!E:F,2,0),"")</f>
        <v/>
      </c>
      <c r="I13" s="163" t="str">
        <f>IFERROR(VLOOKUP(D13,FIDELIZAÇÃO!C:G,5,0),"")</f>
        <v/>
      </c>
      <c r="J13" s="9" t="str">
        <f>IFERROR(VLOOKUP(I13,FIDELIZAÇÃO!G:H,2,0),"")</f>
        <v/>
      </c>
      <c r="K13" s="163" t="str">
        <f>IFERROR(VLOOKUP(B13,'03114902'!B:X,23,0),"")</f>
        <v/>
      </c>
      <c r="L13" s="9" t="str">
        <f>IFERROR(VLOOKUP(B13,'03114902'!B:AM,38,0),"")</f>
        <v/>
      </c>
      <c r="M13" s="9" t="str">
        <f>IFERROR(VLOOKUP(B13,'03114902'!B:AN,39,0),"")</f>
        <v/>
      </c>
      <c r="N13" s="177" t="str">
        <f>IFERROR(VLOOKUP(B13,'03114902'!B:V,21,0),"")</f>
        <v/>
      </c>
      <c r="O13" s="178" t="str">
        <f>IFERROR(VLOOKUP(B13,'03114902'!B:W,22,0),"")</f>
        <v/>
      </c>
      <c r="P13" s="163" t="str">
        <f>IFERROR(VLOOKUP(B13,'03114902'!B:Y,24,0),"")</f>
        <v/>
      </c>
      <c r="Q13" s="180" t="str">
        <f>IFERROR(VLOOKUP(B13,'03114902'!B:Z,25,0) * 0.01,"")</f>
        <v/>
      </c>
      <c r="R13" s="163" t="str">
        <f>IFERROR(VLOOKUP(B13,'03114902'!B:AA,26,0),"")</f>
        <v/>
      </c>
      <c r="S13" s="181" t="str">
        <f>IFERROR(VLOOKUP(B13,'03114902'!B:AB,27,0) * 0.01,"")</f>
        <v/>
      </c>
    </row>
    <row r="14" spans="2:19" ht="15.75" hidden="1">
      <c r="B14" s="15" t="str">
        <f>IF(FIDELIZAÇÃO!C15 = "", "NA", FIDELIZAÇÃO!C15)</f>
        <v>NA</v>
      </c>
      <c r="C14" s="156" t="str">
        <f>IFERROR(VLOOKUP(B14,'03114902'!B:G,6,0),"")</f>
        <v/>
      </c>
      <c r="D14" s="157" t="str">
        <f>IFERROR(VLOOKUP(B14,'03114902'!B:O,14,0),"")</f>
        <v/>
      </c>
      <c r="E14" s="157" t="str">
        <f>IFERROR(VLOOKUP(B14,'03114902'!B:I,8,0),"")</f>
        <v/>
      </c>
      <c r="F14" s="163" t="str">
        <f>IFERROR(VLOOKUP(B14,'03114902'!B:L,11,0),"")</f>
        <v/>
      </c>
      <c r="G14" s="163" t="str">
        <f>IFERROR(VLOOKUP(D14,FIDELIZAÇÃO!C:E,3,0),"")</f>
        <v/>
      </c>
      <c r="H14" s="9" t="str">
        <f>IFERROR(VLOOKUP(G14,FIDELIZAÇÃO!E:F,2,0),"")</f>
        <v/>
      </c>
      <c r="I14" s="163" t="str">
        <f>IFERROR(VLOOKUP(D14,FIDELIZAÇÃO!C:G,5,0),"")</f>
        <v/>
      </c>
      <c r="J14" s="9" t="str">
        <f>IFERROR(VLOOKUP(I14,FIDELIZAÇÃO!G:H,2,0),"")</f>
        <v/>
      </c>
      <c r="K14" s="163" t="str">
        <f>IFERROR(VLOOKUP(B14,'03114902'!B:X,23,0),"")</f>
        <v/>
      </c>
      <c r="L14" s="9"/>
      <c r="M14" s="9" t="str">
        <f>IFERROR(VLOOKUP(B14,'03114902'!B:AN,39,0),"")</f>
        <v/>
      </c>
      <c r="N14" s="177" t="str">
        <f>IFERROR(VLOOKUP(B14,'03114902'!B:V,21,0),"")</f>
        <v/>
      </c>
      <c r="O14" s="178" t="str">
        <f>IFERROR(VLOOKUP(B14,'03114902'!B:W,22,0),"")</f>
        <v/>
      </c>
      <c r="P14" s="163" t="str">
        <f>IFERROR(VLOOKUP(B14,'03114902'!B:Y,24,0),"")</f>
        <v/>
      </c>
      <c r="Q14" s="180" t="str">
        <f>IFERROR(VLOOKUP(B14,'03114902'!B:Z,25,0) * 0.01,"")</f>
        <v/>
      </c>
      <c r="R14" s="163" t="str">
        <f>IFERROR(VLOOKUP(B14,'03114902'!B:AA,26,0),"")</f>
        <v/>
      </c>
      <c r="S14" s="181" t="str">
        <f>IFERROR(VLOOKUP(B14,'03114902'!B:AB,27,0) * 0.01,"")</f>
        <v/>
      </c>
    </row>
    <row r="15" spans="2:19" ht="15.75" hidden="1">
      <c r="B15" s="15"/>
      <c r="C15" s="156" t="str">
        <f>IFERROR(VLOOKUP(B15,'03114902'!B:G,6,0),"")</f>
        <v/>
      </c>
      <c r="D15" s="157" t="str">
        <f>IFERROR(VLOOKUP(B15,'03114902'!B:O,14,0),"")</f>
        <v/>
      </c>
      <c r="E15" s="157" t="str">
        <f>IFERROR(VLOOKUP(B15,'03114902'!B:I,8,0),"")</f>
        <v/>
      </c>
      <c r="F15" s="163" t="str">
        <f>IFERROR(VLOOKUP(B15,'03114902'!B:L,11,0),"")</f>
        <v/>
      </c>
      <c r="G15" s="163" t="str">
        <f>IFERROR(VLOOKUP(D15,FIDELIZAÇÃO!C:E,3,0),"")</f>
        <v/>
      </c>
      <c r="H15" s="9" t="str">
        <f>IFERROR(VLOOKUP(G15,FIDELIZAÇÃO!E:F,2,0),"")</f>
        <v/>
      </c>
      <c r="I15" s="163" t="str">
        <f>IFERROR(VLOOKUP(D15,FIDELIZAÇÃO!C:G,5,0),"")</f>
        <v/>
      </c>
      <c r="J15" s="9" t="str">
        <f>IFERROR(VLOOKUP(I15,FIDELIZAÇÃO!G:H,2,0),"")</f>
        <v/>
      </c>
      <c r="K15" s="163" t="str">
        <f>IFERROR(VLOOKUP(B15,'03114902'!B:X,23,0),"")</f>
        <v/>
      </c>
      <c r="L15" s="9" t="str">
        <f>IFERROR(VLOOKUP(B15,'03114902'!B:AM,38,0),"")</f>
        <v/>
      </c>
      <c r="M15" s="9" t="str">
        <f>IFERROR(VLOOKUP(B15,'03114902'!B:AN,39,0),"")</f>
        <v/>
      </c>
      <c r="N15" s="177" t="str">
        <f>IFERROR(VLOOKUP(B15,'03114902'!B:V,21,0),"")</f>
        <v/>
      </c>
      <c r="O15" s="178" t="str">
        <f>IFERROR(VLOOKUP(B15,'03114902'!B:W,22,0),"")</f>
        <v/>
      </c>
      <c r="P15" s="163" t="str">
        <f>IFERROR(VLOOKUP(B15,'03114902'!B:Y,24,0),"")</f>
        <v/>
      </c>
      <c r="Q15" s="180" t="str">
        <f>IFERROR(VLOOKUP(B15,'03114902'!B:Z,25,0) * 0.01,"")</f>
        <v/>
      </c>
      <c r="R15" s="163" t="str">
        <f>IFERROR(VLOOKUP(B15,'03114902'!B:AA,26,0),"")</f>
        <v/>
      </c>
      <c r="S15" s="181" t="str">
        <f>IFERROR(VLOOKUP(B15,'03114902'!B:AB,27,0) * 0.01,"")</f>
        <v/>
      </c>
    </row>
    <row r="16" spans="2:19" ht="15.75" hidden="1">
      <c r="B16" s="168"/>
      <c r="C16" s="169"/>
      <c r="D16" s="170"/>
      <c r="E16" s="170"/>
      <c r="F16" s="168"/>
      <c r="G16" s="168"/>
      <c r="H16" s="167"/>
      <c r="I16" s="168"/>
      <c r="J16" s="167"/>
      <c r="K16" s="168"/>
      <c r="L16" s="167"/>
      <c r="M16" s="167"/>
      <c r="N16" s="171"/>
      <c r="O16" s="172"/>
      <c r="P16" s="168"/>
      <c r="Q16" s="168"/>
      <c r="R16" s="168"/>
      <c r="S16" s="168"/>
    </row>
    <row r="17" spans="1:35" ht="24">
      <c r="C17" s="290" t="s">
        <v>20</v>
      </c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</row>
    <row r="18" spans="1:35" ht="15.75">
      <c r="B18" s="13" t="s">
        <v>2</v>
      </c>
      <c r="C18" s="9" t="s">
        <v>3</v>
      </c>
      <c r="D18" s="9" t="s">
        <v>4</v>
      </c>
      <c r="E18" s="9" t="s">
        <v>5</v>
      </c>
      <c r="F18" s="9" t="s">
        <v>6</v>
      </c>
      <c r="G18" s="9" t="s">
        <v>7</v>
      </c>
      <c r="H18" s="9" t="s">
        <v>8</v>
      </c>
      <c r="I18" s="9" t="s">
        <v>9</v>
      </c>
      <c r="J18" s="9" t="s">
        <v>10</v>
      </c>
      <c r="K18" s="9" t="s">
        <v>11</v>
      </c>
      <c r="L18" s="9" t="s">
        <v>12</v>
      </c>
      <c r="M18" s="9" t="s">
        <v>13</v>
      </c>
      <c r="N18" s="9" t="s">
        <v>14</v>
      </c>
      <c r="O18" s="14" t="s">
        <v>15</v>
      </c>
      <c r="P18" s="9" t="s">
        <v>16</v>
      </c>
      <c r="Q18" s="9" t="s">
        <v>17</v>
      </c>
      <c r="R18" s="9" t="s">
        <v>18</v>
      </c>
      <c r="S18" s="9" t="s">
        <v>19</v>
      </c>
    </row>
    <row r="19" spans="1:35" ht="15.75">
      <c r="B19" s="15" t="str">
        <f>IF(FIDELIZAÇÃO!C17 = "", "NA", FIDELIZAÇÃO!C17)</f>
        <v>RTI1I17</v>
      </c>
      <c r="C19" s="164">
        <f>IFERROR(VLOOKUP(B19,'03114902'!B:G,6,0),"")</f>
        <v>46297</v>
      </c>
      <c r="D19" s="326" t="str">
        <f>IFERROR(VLOOKUP(B19,'03114902'!B:O,14,0),"")</f>
        <v>RTI1I17</v>
      </c>
      <c r="E19" s="163">
        <f>IFERROR(VLOOKUP(B19,'03114902'!B:I,8,0),"")</f>
        <v>179804</v>
      </c>
      <c r="F19" s="163" t="str">
        <f>IFERROR(VLOOKUP(B19,'03114902'!B:L,11,0),"")</f>
        <v>Rota</v>
      </c>
      <c r="G19" s="163">
        <f>IFERROR(VLOOKUP(D19,FIDELIZAÇÃO!C:E,3,0),"")</f>
        <v>5</v>
      </c>
      <c r="H19" s="9" t="str">
        <f>IFERROR(VLOOKUP(G19,FIDELIZAÇÃO!E:F,2,0),"")</f>
        <v>ADEMAR BERGMANN TELES</v>
      </c>
      <c r="I19" s="163">
        <f>IFERROR(VLOOKUP(D19,FIDELIZAÇÃO!C:G,5,0),"")</f>
        <v>0</v>
      </c>
      <c r="J19" s="9" t="str">
        <f>IFERROR(VLOOKUP(I19,FIDELIZAÇÃO!G:H,2,0),"")</f>
        <v/>
      </c>
      <c r="K19" s="163">
        <f>IFERROR(VLOOKUP(B19,'03114902'!B:X,23,0),"")</f>
        <v>21</v>
      </c>
      <c r="L19" s="9" t="str">
        <f>IFERROR(VLOOKUP(B19,'03114902'!B:AM,38,0),"")</f>
        <v>FOZ DO IGUACU (21)</v>
      </c>
      <c r="M19" s="9" t="str">
        <f>IFERROR(VLOOKUP(B19,'03114902'!B:AN,39,0),"")</f>
        <v>[FOZ]: CENTRO (7) / PORTES (3) / CENTRO CIVICO (2) / YOLANDA (2) / PORTO MEIRA (2) / COHAPAR II (1) / JARDIM CANADA (1) / MARACANA (1) / PANORAMA (1) / MONJOLO (1)</v>
      </c>
      <c r="N19" s="177">
        <f>IFERROR(VLOOKUP(B19,'03114902'!B:V,21,0),"")</f>
        <v>66.05</v>
      </c>
      <c r="O19" s="178">
        <f>IFERROR(VLOOKUP(B19,'03114902'!B:W,22,0),"")</f>
        <v>0.33958333333333335</v>
      </c>
      <c r="P19" s="163">
        <f>IFERROR(VLOOKUP(B19,'03114902'!B:Y,24,0),"")</f>
        <v>51.83</v>
      </c>
      <c r="Q19" s="180">
        <f>IFERROR(VLOOKUP(B19,'03114902'!B:Z,25,0) * 0.01,"")</f>
        <v>0.74040000000000006</v>
      </c>
      <c r="R19" s="163">
        <f>IFERROR(VLOOKUP(B19,'03114902'!B:AA,26,0),"")</f>
        <v>1347</v>
      </c>
      <c r="S19" s="181">
        <f>IFERROR(VLOOKUP(B19,'03114902'!B:AB,27,0) * 0.01,"")</f>
        <v>0.96920000000000006</v>
      </c>
    </row>
    <row r="20" spans="1:35" ht="15.75">
      <c r="B20" s="15" t="str">
        <f>IF(FIDELIZAÇÃO!C18 = "", "NA", FIDELIZAÇÃO!C18)</f>
        <v>RKW7G77</v>
      </c>
      <c r="C20" s="164">
        <f>IFERROR(VLOOKUP(B20,'03114902'!B:G,6,0),"")</f>
        <v>46297</v>
      </c>
      <c r="D20" s="326" t="str">
        <f>IFERROR(VLOOKUP(B20,'03114902'!B:O,14,0),"")</f>
        <v>RKW7G77</v>
      </c>
      <c r="E20" s="163">
        <f>IFERROR(VLOOKUP(B20,'03114902'!B:I,8,0),"")</f>
        <v>179812</v>
      </c>
      <c r="F20" s="163" t="str">
        <f>IFERROR(VLOOKUP(B20,'03114902'!B:L,11,0),"")</f>
        <v>Rota</v>
      </c>
      <c r="G20" s="163">
        <f>IFERROR(VLOOKUP(D20,FIDELIZAÇÃO!C:E,3,0),"")</f>
        <v>208</v>
      </c>
      <c r="H20" s="9" t="str">
        <f>IFERROR(VLOOKUP(G20,FIDELIZAÇÃO!E:F,2,0),"")</f>
        <v>MAICON CARVALHO</v>
      </c>
      <c r="I20" s="163">
        <f>IFERROR(VLOOKUP(D20,FIDELIZAÇÃO!C:G,5,0),"")</f>
        <v>277</v>
      </c>
      <c r="J20" s="264" t="str">
        <f>IFERROR(VLOOKUP(I20,FIDELIZAÇÃO!G:H,2,0),"")</f>
        <v>PEDRO / 149 DIEGO</v>
      </c>
      <c r="K20" s="163">
        <f>IFERROR(VLOOKUP(B20,'03114902'!B:X,23,0),"")</f>
        <v>25</v>
      </c>
      <c r="L20" s="9" t="str">
        <f>IFERROR(VLOOKUP(B20,'03114902'!B:AM,38,0),"")</f>
        <v>FOZ DO IGUACU (24) / SANTA TEREZINHA DE ITAIPU (1)</v>
      </c>
      <c r="M20" s="9" t="str">
        <f>IFERROR(VLOOKUP(B20,'03114902'!B:AN,39,0),"")</f>
        <v>[FOZ]: MORUMBI (11) / CAMPOS DO IGUACU (5) / PORTAL DA FOZ (2) / PARQUE RESIDENCIAL MORUMBI II (1) / PARQUE RESIDENCIAL MORUMBI III (1) / CENTRO CIVICO (1) / PARQUE MORUMBI II (1) / PORTAL (1) / AREA RURAL DE FOZ DO IGUACU (1) / [SAN]: CENTRO (1)</v>
      </c>
      <c r="N20" s="177">
        <f>IFERROR(VLOOKUP(B20,'03114902'!B:V,21,0),"")</f>
        <v>41.62</v>
      </c>
      <c r="O20" s="178">
        <f>IFERROR(VLOOKUP(B20,'03114902'!B:W,22,0),"")</f>
        <v>0.42916666666666664</v>
      </c>
      <c r="P20" s="163">
        <f>IFERROR(VLOOKUP(B20,'03114902'!B:Y,24,0),"")</f>
        <v>288.27</v>
      </c>
      <c r="Q20" s="180">
        <f>IFERROR(VLOOKUP(B20,'03114902'!B:Z,25,0) * 0.01,"")</f>
        <v>0.68630000000000002</v>
      </c>
      <c r="R20" s="163">
        <f>IFERROR(VLOOKUP(B20,'03114902'!B:AA,26,0),"")</f>
        <v>7443</v>
      </c>
      <c r="S20" s="181">
        <f>IFERROR(VLOOKUP(B20,'03114902'!B:AB,27,0) * 0.01,"")</f>
        <v>0.58840000000000003</v>
      </c>
    </row>
    <row r="21" spans="1:35" customFormat="1" ht="15.75">
      <c r="A21" s="165"/>
      <c r="B21" s="15" t="str">
        <f>IF(FIDELIZAÇÃO!C19 = "", "NA", FIDELIZAÇÃO!C19)</f>
        <v>GHK2F66</v>
      </c>
      <c r="C21" s="164">
        <f>IFERROR(VLOOKUP(B21,'03114902'!B:G,6,0),"")</f>
        <v>46297</v>
      </c>
      <c r="D21" s="326" t="str">
        <f>IFERROR(VLOOKUP(B21,'03114902'!B:O,14,0),"")</f>
        <v>GHK2F66</v>
      </c>
      <c r="E21" s="163">
        <f>IFERROR(VLOOKUP(B21,'03114902'!B:I,8,0),"")</f>
        <v>179813</v>
      </c>
      <c r="F21" s="163" t="str">
        <f>IFERROR(VLOOKUP(B21,'03114902'!B:L,11,0),"")</f>
        <v>Rota</v>
      </c>
      <c r="G21" s="163">
        <f>IFERROR(VLOOKUP(D21,FIDELIZAÇÃO!C:E,3,0),"")</f>
        <v>286</v>
      </c>
      <c r="H21" s="9" t="str">
        <f>IFERROR(VLOOKUP(G21,FIDELIZAÇÃO!E:F,2,0),"")</f>
        <v>MATHEUS LEONARDO DE SESARO</v>
      </c>
      <c r="I21" s="163">
        <f>IFERROR(VLOOKUP(D21,FIDELIZAÇÃO!C:G,5,0),"")</f>
        <v>10</v>
      </c>
      <c r="J21" s="264" t="str">
        <f>IFERROR(VLOOKUP(I21,FIDELIZAÇÃO!G:H,2,0),"")</f>
        <v>IGOR / 185 EDER</v>
      </c>
      <c r="K21" s="163">
        <f>IFERROR(VLOOKUP(B21,'03114902'!B:X,23,0),"")</f>
        <v>18</v>
      </c>
      <c r="L21" s="9" t="str">
        <f>IFERROR(VLOOKUP(B21,'03114902'!B:AM,38,0),"")</f>
        <v>FOZ DO IGUACU (18)</v>
      </c>
      <c r="M21" s="9" t="str">
        <f>IFERROR(VLOOKUP(B21,'03114902'!B:AN,39,0),"")</f>
        <v>[FOZ]: PORTES (4) / CENTRO (2) / ITAIPU A (2) / MONJOLO (2) / JARDIM CENTRAL (1) / JARDIM JUPIRA (1) / JARDIM POLO CENTRO (1) / VILA BRASILIA (1) / VILA PORTES (1) / CENTRO CIVICO (1) / POLO CENTRO (1) / KLP (1)</v>
      </c>
      <c r="N21" s="177">
        <f>IFERROR(VLOOKUP(B21,'03114902'!B:V,21,0),"")</f>
        <v>52.1</v>
      </c>
      <c r="O21" s="178">
        <f>IFERROR(VLOOKUP(B21,'03114902'!B:W,22,0),"")</f>
        <v>0.39930555555555558</v>
      </c>
      <c r="P21" s="163">
        <f>IFERROR(VLOOKUP(B21,'03114902'!B:Y,24,0),"")</f>
        <v>214.01</v>
      </c>
      <c r="Q21" s="180">
        <f>IFERROR(VLOOKUP(B21,'03114902'!B:Z,25,0) * 0.01,"")</f>
        <v>0.69480000000000008</v>
      </c>
      <c r="R21" s="163">
        <f>IFERROR(VLOOKUP(B21,'03114902'!B:AA,26,0),"")</f>
        <v>5121</v>
      </c>
      <c r="S21" s="181">
        <f>IFERROR(VLOOKUP(B21,'03114902'!B:AB,27,0) * 0.01,"")</f>
        <v>0.64260000000000006</v>
      </c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</row>
    <row r="22" spans="1:35" ht="15.75">
      <c r="B22" s="15" t="str">
        <f>IF(FIDELIZAÇÃO!C20 = "", "NA", FIDELIZAÇÃO!C20)</f>
        <v>GAU0G73</v>
      </c>
      <c r="C22" s="164">
        <f>IFERROR(VLOOKUP(B22,'03114902'!B:G,6,0),"")</f>
        <v>46297</v>
      </c>
      <c r="D22" s="326" t="str">
        <f>IFERROR(VLOOKUP(B22,'03114902'!B:O,14,0),"")</f>
        <v>GAU0G73</v>
      </c>
      <c r="E22" s="163">
        <f>IFERROR(VLOOKUP(B22,'03114902'!B:I,8,0),"")</f>
        <v>179809</v>
      </c>
      <c r="F22" s="163" t="str">
        <f>IFERROR(VLOOKUP(B22,'03114902'!B:L,11,0),"")</f>
        <v>Rota</v>
      </c>
      <c r="G22" s="163">
        <f>IFERROR(VLOOKUP(D22,FIDELIZAÇÃO!C:E,3,0),"")</f>
        <v>86</v>
      </c>
      <c r="H22" s="9" t="str">
        <f>IFERROR(VLOOKUP(G22,FIDELIZAÇÃO!E:F,2,0),"")</f>
        <v>LUCAS DA CRUZ SALOMAO</v>
      </c>
      <c r="I22" s="163">
        <f>IFERROR(VLOOKUP(D22,FIDELIZAÇÃO!C:G,5,0),"")</f>
        <v>162</v>
      </c>
      <c r="J22" s="9" t="str">
        <f>IFERROR(VLOOKUP(I22,FIDELIZAÇÃO!G:H,2,0),"")</f>
        <v>EDUARDO EUZEBIO DOS SANTOS</v>
      </c>
      <c r="K22" s="163">
        <f>IFERROR(VLOOKUP(B22,'03114902'!B:X,23,0),"")</f>
        <v>13</v>
      </c>
      <c r="L22" s="9" t="str">
        <f>IFERROR(VLOOKUP(B22,'03114902'!B:AM,38,0),"")</f>
        <v>FOZ DO IGUACU (13)</v>
      </c>
      <c r="M22" s="9" t="str">
        <f>IFERROR(VLOOKUP(B22,'03114902'!B:AN,39,0),"")</f>
        <v>[FOZ]: CENTRO (12) / VILA YOLANDA (1)</v>
      </c>
      <c r="N22" s="177">
        <f>IFERROR(VLOOKUP(B22,'03114902'!B:V,21,0),"")</f>
        <v>35.1</v>
      </c>
      <c r="O22" s="178">
        <f>IFERROR(VLOOKUP(B22,'03114902'!B:W,22,0),"")</f>
        <v>0.34027777777777779</v>
      </c>
      <c r="P22" s="163">
        <f>IFERROR(VLOOKUP(B22,'03114902'!B:Y,24,0),"")</f>
        <v>243.75</v>
      </c>
      <c r="Q22" s="180">
        <f>IFERROR(VLOOKUP(B22,'03114902'!B:Z,25,0) * 0.01,"")</f>
        <v>0.96720000000000006</v>
      </c>
      <c r="R22" s="163">
        <f>IFERROR(VLOOKUP(B22,'03114902'!B:AA,26,0),"")</f>
        <v>5953</v>
      </c>
      <c r="S22" s="181">
        <f>IFERROR(VLOOKUP(B22,'03114902'!B:AB,27,0) * 0.01,"")</f>
        <v>0.79159999999999997</v>
      </c>
    </row>
    <row r="23" spans="1:35" ht="15.75">
      <c r="B23" s="15" t="str">
        <f>IF(FIDELIZAÇÃO!C21 = "", "NA", FIDELIZAÇÃO!C21)</f>
        <v>QJU2F48</v>
      </c>
      <c r="C23" s="164">
        <f>IFERROR(VLOOKUP(B23,'03114902'!B:G,6,0),"")</f>
        <v>46297</v>
      </c>
      <c r="D23" s="326" t="str">
        <f>IFERROR(VLOOKUP(B23,'03114902'!B:O,14,0),"")</f>
        <v>QJU2F48</v>
      </c>
      <c r="E23" s="163">
        <f>IFERROR(VLOOKUP(B23,'03114902'!B:I,8,0),"")</f>
        <v>179817</v>
      </c>
      <c r="F23" s="163" t="s">
        <v>21</v>
      </c>
      <c r="G23" s="163">
        <f>IFERROR(VLOOKUP(D23,FIDELIZAÇÃO!C:E,3,0),"")</f>
        <v>107</v>
      </c>
      <c r="H23" s="9" t="str">
        <f>IFERROR(VLOOKUP(G23,FIDELIZAÇÃO!E:F,2,0),"")</f>
        <v>DEOCLIDES RODRIGUES SILVA DA CRUZ</v>
      </c>
      <c r="I23" s="163">
        <f>IFERROR(VLOOKUP(D23,FIDELIZAÇÃO!C:G,5,0),"")</f>
        <v>163</v>
      </c>
      <c r="J23" s="9" t="str">
        <f>IFERROR(VLOOKUP(I23,FIDELIZAÇÃO!G:H,2,0),"")</f>
        <v>WELLINTON DO NASCIMENTO STEIN</v>
      </c>
      <c r="K23" s="163">
        <f>IFERROR(VLOOKUP(B23,'03114902'!B:X,23,0),"")</f>
        <v>23</v>
      </c>
      <c r="L23" s="9" t="str">
        <f>IFERROR(VLOOKUP(B23,'03114902'!B:AM,38,0),"")</f>
        <v>FOZ DO IGUACU (21) / SANTA TEREZINHA DE ITAIPU (2)</v>
      </c>
      <c r="M23" s="9" t="str">
        <f>IFERROR(VLOOKUP(B23,'03114902'!B:AN,39,0),"")</f>
        <v>[FOZ]: TRES LAGOAS (9) / CENTRO CIVICO (3) / CENTRO (1) / CONJUNTO RESIDENCIAL SOL DE MA (1) / JARDIM NACIONAL (1) / JARDIM SANTA RITA (1) / LOTEAMENTO RESIDENCIAL LAGOA V (1) / LOTEAMENTO WITT (1) / PARQUE PRESIDENTE II (1) / LOTEAMENTO JARDIM MADRE TEREZA (1) / LOTEAMENTO RESIDENCIAL LAGOA DOURADA (1) / [SAN]: CENTRO (1) / PARQUE DOS ESTADOS (1)</v>
      </c>
      <c r="N23" s="177">
        <f>IFERROR(VLOOKUP(B23,'03114902'!B:V,21,0),"")</f>
        <v>56.04</v>
      </c>
      <c r="O23" s="178">
        <f>IFERROR(VLOOKUP(B23,'03114902'!B:W,22,0),"")</f>
        <v>0.40763888888888888</v>
      </c>
      <c r="P23" s="163">
        <f>IFERROR(VLOOKUP(B23,'03114902'!B:Y,24,0),"")</f>
        <v>197.92</v>
      </c>
      <c r="Q23" s="180">
        <f>IFERROR(VLOOKUP(B23,'03114902'!B:Z,25,0) * 0.01,"")</f>
        <v>0.52350000000000008</v>
      </c>
      <c r="R23" s="163">
        <f>IFERROR(VLOOKUP(B23,'03114902'!B:AA,26,0),"")</f>
        <v>5102</v>
      </c>
      <c r="S23" s="181">
        <f>IFERROR(VLOOKUP(B23,'03114902'!B:AB,27,0) * 0.01,"")</f>
        <v>0.40679999999999999</v>
      </c>
    </row>
    <row r="24" spans="1:35" ht="15.75">
      <c r="B24" s="15" t="str">
        <f>IF(FIDELIZAÇÃO!C22 = "", "NA", FIDELIZAÇÃO!C22)</f>
        <v>QJT3668</v>
      </c>
      <c r="C24" s="164">
        <f>IFERROR(VLOOKUP(B24,'03114902'!B:G,6,0),"")</f>
        <v>46297</v>
      </c>
      <c r="D24" s="326" t="str">
        <f>IFERROR(VLOOKUP(B24,'03114902'!B:O,14,0),"")</f>
        <v>QJT3668</v>
      </c>
      <c r="E24" s="163">
        <f>IFERROR(VLOOKUP(B24,'03114902'!B:I,8,0),"")</f>
        <v>179814</v>
      </c>
      <c r="F24" s="163" t="str">
        <f>IFERROR(VLOOKUP(B24,'03114902'!B:L,11,0),"")</f>
        <v>Rota</v>
      </c>
      <c r="G24" s="163">
        <f>IFERROR(VLOOKUP(D24,FIDELIZAÇÃO!C:E,3,0),"")</f>
        <v>294</v>
      </c>
      <c r="H24" s="9" t="str">
        <f>IFERROR(VLOOKUP(G24,FIDELIZAÇÃO!E:F,2,0),"")</f>
        <v>FERNANDO ALVES DE OLIVEIRA</v>
      </c>
      <c r="I24" s="163">
        <f>IFERROR(VLOOKUP(D24,FIDELIZAÇÃO!C:G,5,0),"")</f>
        <v>164</v>
      </c>
      <c r="J24" s="9" t="str">
        <f>IFERROR(VLOOKUP(I24,FIDELIZAÇÃO!G:H,2,0),"")</f>
        <v>FABIO SILVA DE LIMA</v>
      </c>
      <c r="K24" s="163">
        <f>IFERROR(VLOOKUP(B24,'03114902'!B:X,23,0),"")</f>
        <v>12</v>
      </c>
      <c r="L24" s="9" t="str">
        <f>IFERROR(VLOOKUP(B24,'03114902'!B:AM,38,0),"")</f>
        <v>FOZ DO IGUACU (12)</v>
      </c>
      <c r="M24" s="9" t="str">
        <f>IFERROR(VLOOKUP(B24,'03114902'!B:AN,39,0),"")</f>
        <v>[FOZ]: ITAIPU C (3) / CONJUNTO B (1) / VILA C NOVA (1) / JARDIM BELVEDERE I (1) / JARDIM ITAIPU (1) / PORTO BELO (1) / LANCASTER (1) / IPE (1) / KLP (1) / POLO UNIVERSITARIO (1)</v>
      </c>
      <c r="N24" s="177">
        <f>IFERROR(VLOOKUP(B24,'03114902'!B:V,21,0),"")</f>
        <v>47.86</v>
      </c>
      <c r="O24" s="178">
        <f>IFERROR(VLOOKUP(B24,'03114902'!B:W,22,0),"")</f>
        <v>0.39583333333333331</v>
      </c>
      <c r="P24" s="163">
        <f>IFERROR(VLOOKUP(B24,'03114902'!B:Y,24,0),"")</f>
        <v>305.97000000000003</v>
      </c>
      <c r="Q24" s="180">
        <f>IFERROR(VLOOKUP(B24,'03114902'!B:Z,25,0) * 0.01,"")</f>
        <v>0.80940000000000001</v>
      </c>
      <c r="R24" s="163">
        <f>IFERROR(VLOOKUP(B24,'03114902'!B:AA,26,0),"")</f>
        <v>7892</v>
      </c>
      <c r="S24" s="181">
        <f>IFERROR(VLOOKUP(B24,'03114902'!B:AB,27,0) * 0.01,"")</f>
        <v>0.62939999999999996</v>
      </c>
    </row>
    <row r="25" spans="1:35" ht="15.75">
      <c r="B25" s="15" t="str">
        <f>IF(FIDELIZAÇÃO!C23 = "", "NA", FIDELIZAÇÃO!C23)</f>
        <v>UDI4C07</v>
      </c>
      <c r="C25" s="164">
        <f>IFERROR(VLOOKUP(B25,'03114902'!B:G,6,0),"")</f>
        <v>46297</v>
      </c>
      <c r="D25" s="326" t="str">
        <f>IFERROR(VLOOKUP(B25,'03114902'!B:O,14,0),"")</f>
        <v>UDI4C07</v>
      </c>
      <c r="E25" s="163">
        <f>IFERROR(VLOOKUP(B25,'03114902'!B:I,8,0),"")</f>
        <v>179815</v>
      </c>
      <c r="F25" s="163" t="str">
        <f>IFERROR(VLOOKUP(B25,'03114902'!B:L,11,0),"")</f>
        <v>Rota</v>
      </c>
      <c r="G25" s="163">
        <f>IFERROR(VLOOKUP(D25,FIDELIZAÇÃO!C:E,3,0),"")</f>
        <v>34</v>
      </c>
      <c r="H25" s="9" t="str">
        <f>IFERROR(VLOOKUP(G25,FIDELIZAÇÃO!E:F,2,0),"")</f>
        <v>ERIVALDO UMBERTO DOS SANTOS</v>
      </c>
      <c r="I25" s="163">
        <f>IFERROR(VLOOKUP(D25,FIDELIZAÇÃO!C:G,5,0),"")</f>
        <v>178</v>
      </c>
      <c r="J25" s="9" t="str">
        <f>IFERROR(VLOOKUP(I25,FIDELIZAÇÃO!G:H,2,0),"")</f>
        <v>JONAS ALVES DA SILVA</v>
      </c>
      <c r="K25" s="163">
        <f>IFERROR(VLOOKUP(B25,'03114902'!B:X,23,0),"")</f>
        <v>16</v>
      </c>
      <c r="L25" s="9" t="str">
        <f>IFERROR(VLOOKUP(B25,'03114902'!B:AM,38,0),"")</f>
        <v>FOZ DO IGUACU (16)</v>
      </c>
      <c r="M25" s="9" t="str">
        <f>IFERROR(VLOOKUP(B25,'03114902'!B:AN,39,0),"")</f>
        <v>[FOZ]: PANORAMA (5) / YOLANDA (2) / CR 1 (1) / JARDIM POLO CENTRO (1) / JARDIM SAO PAULO II (1) / LOTEAMENTO MATA VERDE (1) / MARACANA (1) / PARQUE PRESIDENTE I (1) / JD.SAO LUIS (1) / SAO ROQUE (1) / MORUMBI (1)</v>
      </c>
      <c r="N25" s="177">
        <f>IFERROR(VLOOKUP(B25,'03114902'!B:V,21,0),"")</f>
        <v>40.94</v>
      </c>
      <c r="O25" s="178">
        <f>IFERROR(VLOOKUP(B25,'03114902'!B:W,22,0),"")</f>
        <v>0.43263888888888891</v>
      </c>
      <c r="P25" s="163">
        <f>IFERROR(VLOOKUP(B25,'03114902'!B:Y,24,0),"")</f>
        <v>309.75</v>
      </c>
      <c r="Q25" s="180">
        <f>IFERROR(VLOOKUP(B25,'03114902'!B:Z,25,0) * 0.01,"")</f>
        <v>0.73750000000000004</v>
      </c>
      <c r="R25" s="163">
        <f>IFERROR(VLOOKUP(B25,'03114902'!B:AA,26,0),"")</f>
        <v>7515</v>
      </c>
      <c r="S25" s="181">
        <f>IFERROR(VLOOKUP(B25,'03114902'!B:AB,27,0) * 0.01,"")</f>
        <v>0.59409999999999996</v>
      </c>
    </row>
    <row r="26" spans="1:35" ht="15.75">
      <c r="B26" s="15" t="str">
        <f>IF(FIDELIZAÇÃO!C24 = "", "NA", FIDELIZAÇÃO!C24)</f>
        <v>FCA8H37</v>
      </c>
      <c r="C26" s="164">
        <f>IFERROR(VLOOKUP(B26,'03114902'!B:G,6,0),"")</f>
        <v>46297</v>
      </c>
      <c r="D26" s="326" t="str">
        <f>IFERROR(VLOOKUP(B26,'03114902'!B:O,14,0),"")</f>
        <v>FCA8H37</v>
      </c>
      <c r="E26" s="163">
        <f>IFERROR(VLOOKUP(B26,'03114902'!B:I,8,0),"")</f>
        <v>179811</v>
      </c>
      <c r="F26" s="163" t="str">
        <f>IFERROR(VLOOKUP(B26,'03114902'!B:L,11,0),"")</f>
        <v>Rota</v>
      </c>
      <c r="G26" s="163">
        <f>IFERROR(VLOOKUP(D26,FIDELIZAÇÃO!C:E,3,0),"")</f>
        <v>90</v>
      </c>
      <c r="H26" s="9" t="str">
        <f>IFERROR(VLOOKUP(G26,FIDELIZAÇÃO!E:F,2,0),"")</f>
        <v>KEBERSON PAULO TROIAN</v>
      </c>
      <c r="I26" s="163">
        <f>IFERROR(VLOOKUP(D26,FIDELIZAÇÃO!C:G,5,0),"")</f>
        <v>296</v>
      </c>
      <c r="J26" s="264" t="str">
        <f>IFERROR(VLOOKUP(I26,FIDELIZAÇÃO!G:H,2,0),"")</f>
        <v>CLAUDIO / 190 JONATHAN</v>
      </c>
      <c r="K26" s="163">
        <f>IFERROR(VLOOKUP(B26,'03114902'!B:X,23,0),"")</f>
        <v>14</v>
      </c>
      <c r="L26" s="9" t="str">
        <f>IFERROR(VLOOKUP(B26,'03114902'!B:AM,38,0),"")</f>
        <v>FOZ DO IGUACU (7) / SANTA TEREZINHA DE ITAIPU (5) / MEDIANEIRA (1) / SAO MIGUEL DO IGUACU (1)</v>
      </c>
      <c r="M26" s="9" t="str">
        <f>IFERROR(VLOOKUP(B26,'03114902'!B:AN,39,0),"")</f>
        <v>[FOZ]: TRES LAGOAS (4) / CENTRO (1) / JARDIM AURORA (1) / TRES BANDEIRAS (1) / [SAN]: CENTRO (3) / AREA INDUSTRIAL (1) / PARQUE DOS ESTADOS (1) / [MED]: ITAIPU (1) / [SAO]: SANTA ROSA DO OCOY (1)</v>
      </c>
      <c r="N26" s="177">
        <f>IFERROR(VLOOKUP(B26,'03114902'!B:V,21,0),"")</f>
        <v>138.09</v>
      </c>
      <c r="O26" s="178">
        <f>IFERROR(VLOOKUP(B26,'03114902'!B:W,22,0),"")</f>
        <v>0.41805555555555557</v>
      </c>
      <c r="P26" s="163">
        <f>IFERROR(VLOOKUP(B26,'03114902'!B:Y,24,0),"")</f>
        <v>244.93</v>
      </c>
      <c r="Q26" s="180">
        <f>IFERROR(VLOOKUP(B26,'03114902'!B:Z,25,0) * 0.01,"")</f>
        <v>0.79520000000000002</v>
      </c>
      <c r="R26" s="163">
        <f>IFERROR(VLOOKUP(B26,'03114902'!B:AA,26,0),"")</f>
        <v>6158</v>
      </c>
      <c r="S26" s="181">
        <f>IFERROR(VLOOKUP(B26,'03114902'!B:AB,27,0) * 0.01,"")</f>
        <v>0.73739999999999994</v>
      </c>
    </row>
    <row r="27" spans="1:35" ht="15.75">
      <c r="B27" s="15" t="str">
        <f>IF(FIDELIZAÇÃO!C25 = "", "NA", FIDELIZAÇÃO!C25)</f>
        <v>GKF6739</v>
      </c>
      <c r="C27" s="164">
        <f>IFERROR(VLOOKUP(B27,'03114902'!B:G,6,0),"")</f>
        <v>46297</v>
      </c>
      <c r="D27" s="326" t="str">
        <f>IFERROR(VLOOKUP(B27,'03114902'!B:O,14,0),"")</f>
        <v>GKF6739</v>
      </c>
      <c r="E27" s="163">
        <f>IFERROR(VLOOKUP(B27,'03114902'!B:I,8,0),"")</f>
        <v>179816</v>
      </c>
      <c r="F27" s="163" t="str">
        <f>IFERROR(VLOOKUP(B27,'03114902'!B:L,11,0),"")</f>
        <v>Rota</v>
      </c>
      <c r="G27" s="163">
        <f>IFERROR(VLOOKUP(D27,FIDELIZAÇÃO!C:E,3,0),"")</f>
        <v>285</v>
      </c>
      <c r="H27" s="9" t="str">
        <f>IFERROR(VLOOKUP(G27,FIDELIZAÇÃO!E:F,2,0),"")</f>
        <v>FELIPE MORAIS DE SOUZA</v>
      </c>
      <c r="I27" s="163">
        <f>IFERROR(VLOOKUP(D27,FIDELIZAÇÃO!C:G,5,0),"")</f>
        <v>189</v>
      </c>
      <c r="J27" s="264" t="str">
        <f>IFERROR(VLOOKUP(I27,FIDELIZAÇÃO!G:H,2,0),"")</f>
        <v>ODIMAR / 187 ANDERSON</v>
      </c>
      <c r="K27" s="163">
        <f>IFERROR(VLOOKUP(B27,'03114902'!B:X,23,0),"")</f>
        <v>18</v>
      </c>
      <c r="L27" s="9" t="str">
        <f>IFERROR(VLOOKUP(B27,'03114902'!B:AM,38,0),"")</f>
        <v>FOZ DO IGUACU (18)</v>
      </c>
      <c r="M27" s="9" t="str">
        <f>IFERROR(VLOOKUP(B27,'03114902'!B:AN,39,0),"")</f>
        <v>[FOZ]: VILA YOLANDA (5) / TRES FRONTEIRAS (3) / PORTO MEIRA (3) / MATA VERDE (2) / YOLANDA (2) / PARQUE OURO VERDE (1) / VILA ADRIANA (1) / BOURBON (1)</v>
      </c>
      <c r="N27" s="177">
        <f>IFERROR(VLOOKUP(B27,'03114902'!B:V,21,0),"")</f>
        <v>56.9</v>
      </c>
      <c r="O27" s="178">
        <f>IFERROR(VLOOKUP(B27,'03114902'!B:W,22,0),"")</f>
        <v>0.43611111111111112</v>
      </c>
      <c r="P27" s="163">
        <f>IFERROR(VLOOKUP(B27,'03114902'!B:Y,24,0),"")</f>
        <v>275.61</v>
      </c>
      <c r="Q27" s="180">
        <f>IFERROR(VLOOKUP(B27,'03114902'!B:Z,25,0) * 0.01,"")</f>
        <v>0.89480000000000004</v>
      </c>
      <c r="R27" s="163">
        <f>IFERROR(VLOOKUP(B27,'03114902'!B:AA,26,0),"")</f>
        <v>6808</v>
      </c>
      <c r="S27" s="181">
        <f>IFERROR(VLOOKUP(B27,'03114902'!B:AB,27,0) * 0.01,"")</f>
        <v>0.81510000000000005</v>
      </c>
    </row>
    <row r="28" spans="1:35" ht="15.75">
      <c r="B28" s="15" t="str">
        <f>IF(FIDELIZAÇÃO!C26 = "", "NA", FIDELIZAÇÃO!C26)</f>
        <v>QJU2248</v>
      </c>
      <c r="C28" s="164">
        <f>IFERROR(VLOOKUP(B28,'03114902'!B:G,6,0),"")</f>
        <v>46297</v>
      </c>
      <c r="D28" s="326" t="str">
        <f>IFERROR(VLOOKUP(B28,'03114902'!B:O,14,0),"")</f>
        <v>QJU2248</v>
      </c>
      <c r="E28" s="163">
        <f>IFERROR(VLOOKUP(B28,'03114902'!B:I,8,0),"")</f>
        <v>179819</v>
      </c>
      <c r="F28" s="163" t="str">
        <f>IFERROR(VLOOKUP(B28,'03114902'!B:L,11,0),"")</f>
        <v>Rota</v>
      </c>
      <c r="G28" s="163">
        <f>IFERROR(VLOOKUP(D28,FIDELIZAÇÃO!C:E,3,0),"")</f>
        <v>304</v>
      </c>
      <c r="H28" s="9" t="str">
        <f>IFERROR(VLOOKUP(G28,FIDELIZAÇÃO!E:F,2,0),"")</f>
        <v xml:space="preserve">DIEGO SANTIN </v>
      </c>
      <c r="I28" s="163">
        <f>IFERROR(VLOOKUP(D28,FIDELIZAÇÃO!C:G,5,0),"")</f>
        <v>183</v>
      </c>
      <c r="J28" s="9" t="str">
        <f>IFERROR(VLOOKUP(I28,FIDELIZAÇÃO!G:H,2,0),"")</f>
        <v>ADRIEL EDUARDO DA SILVA FERREIRA</v>
      </c>
      <c r="K28" s="163">
        <f>IFERROR(VLOOKUP(B28,'03114902'!B:X,23,0),"")</f>
        <v>21</v>
      </c>
      <c r="L28" s="9" t="str">
        <f>IFERROR(VLOOKUP(B28,'03114902'!B:AM,38,0),"")</f>
        <v>FOZ DO IGUACU (21)</v>
      </c>
      <c r="M28" s="9" t="str">
        <f>IFERROR(VLOOKUP(B28,'03114902'!B:AN,39,0),"")</f>
        <v>[FOZ]: CARIMA (10) / LOTEAMENTO MATA VERDE (1) / PARQUE PRESIDENTE (1) / VILA CARIMA (1) / JARDIM MORENITA LL (1) / IMOVEL CATARATAS - GLEBA II (1) / REMANSO GRANDE (1) / ITAIPU A (1) / YOLANDA (1) / REMANSO (1) / PORTO MEIRA (1) / SAO ROQUE (1)</v>
      </c>
      <c r="N28" s="177">
        <f>IFERROR(VLOOKUP(B28,'03114902'!B:V,21,0),"")</f>
        <v>59.59</v>
      </c>
      <c r="O28" s="178">
        <f>IFERROR(VLOOKUP(B28,'03114902'!B:W,22,0),"")</f>
        <v>0.42499999999999999</v>
      </c>
      <c r="P28" s="163">
        <f>IFERROR(VLOOKUP(B28,'03114902'!B:Y,24,0),"")</f>
        <v>194.91</v>
      </c>
      <c r="Q28" s="180">
        <f>IFERROR(VLOOKUP(B28,'03114902'!B:Z,25,0) * 0.01,"")</f>
        <v>0.51560000000000006</v>
      </c>
      <c r="R28" s="163">
        <f>IFERROR(VLOOKUP(B28,'03114902'!B:AA,26,0),"")</f>
        <v>5189</v>
      </c>
      <c r="S28" s="181">
        <f>IFERROR(VLOOKUP(B28,'03114902'!B:AB,27,0) * 0.01,"")</f>
        <v>0.41380000000000006</v>
      </c>
      <c r="V28" s="165" t="s">
        <v>22</v>
      </c>
    </row>
    <row r="29" spans="1:35" ht="15.75">
      <c r="B29" s="15" t="str">
        <f>IF(FIDELIZAÇÃO!C27 = "", "NA", FIDELIZAÇÃO!C27)</f>
        <v>NA</v>
      </c>
      <c r="C29" s="164" t="str">
        <f>IFERROR(VLOOKUP(B29,'03114902'!B:G,6,0),"")</f>
        <v/>
      </c>
      <c r="D29" s="326" t="str">
        <f>IFERROR(VLOOKUP(B29,'03114902'!B:O,14,0),"")</f>
        <v/>
      </c>
      <c r="E29" s="163" t="str">
        <f>IFERROR(VLOOKUP(B29,'03114902'!B:I,8,0),"")</f>
        <v/>
      </c>
      <c r="F29" s="163" t="str">
        <f>IFERROR(VLOOKUP(B29,'03114902'!B:L,11,0),"")</f>
        <v/>
      </c>
      <c r="G29" s="163" t="str">
        <f>IFERROR(VLOOKUP(D29,FIDELIZAÇÃO!C:E,3,0),"")</f>
        <v/>
      </c>
      <c r="H29" s="9" t="str">
        <f>IFERROR(VLOOKUP(G29,FIDELIZAÇÃO!E:F,2,0),"")</f>
        <v/>
      </c>
      <c r="I29" s="163" t="str">
        <f>IFERROR(VLOOKUP(D29,FIDELIZAÇÃO!C:G,5,0),"")</f>
        <v/>
      </c>
      <c r="J29" s="9" t="str">
        <f>IFERROR(VLOOKUP(I29,FIDELIZAÇÃO!G:H,2,0),"")</f>
        <v/>
      </c>
      <c r="K29" s="163" t="str">
        <f>IFERROR(VLOOKUP(B29,'03114902'!B:X,23,0),"")</f>
        <v/>
      </c>
      <c r="L29" s="9" t="str">
        <f>IFERROR(VLOOKUP(B29,'03114902'!B:AM,38,0),"")</f>
        <v/>
      </c>
      <c r="M29" s="9" t="str">
        <f>IFERROR(VLOOKUP(B29,'03114902'!B:AN,39,0),"")</f>
        <v/>
      </c>
      <c r="N29" s="177" t="str">
        <f>IFERROR(VLOOKUP(B29,'03114902'!B:V,21,0),"")</f>
        <v/>
      </c>
      <c r="O29" s="178" t="str">
        <f>IFERROR(VLOOKUP(B29,'03114902'!B:W,22,0),"")</f>
        <v/>
      </c>
      <c r="P29" s="163" t="str">
        <f>IFERROR(VLOOKUP(B29,'03114902'!B:Y,24,0),"")</f>
        <v/>
      </c>
      <c r="Q29" s="180" t="str">
        <f>IFERROR(VLOOKUP(B29,'03114902'!B:Z,25,0) * 0.01,"")</f>
        <v/>
      </c>
      <c r="R29" s="163" t="str">
        <f>IFERROR(VLOOKUP(B29,'03114902'!B:AA,26,0),"")</f>
        <v/>
      </c>
      <c r="S29" s="181" t="str">
        <f>IFERROR(VLOOKUP(B29,'03114902'!B:AB,27,0) * 0.01,"")</f>
        <v/>
      </c>
    </row>
    <row r="30" spans="1:35" ht="15.75">
      <c r="B30" s="15" t="str">
        <f>IF(FIDELIZAÇÃO!C28 = "", "NA", FIDELIZAÇÃO!C28)</f>
        <v>NA</v>
      </c>
      <c r="C30" s="164" t="str">
        <f>IFERROR(VLOOKUP(B30,'03114902'!B:G,6,0),"")</f>
        <v/>
      </c>
      <c r="D30" s="157" t="str">
        <f>IFERROR(VLOOKUP(B30,'03114902'!B:O,14,0),"")</f>
        <v/>
      </c>
      <c r="E30" s="163" t="str">
        <f>IFERROR(VLOOKUP(B30,'03114902'!B:I,8,0),"")</f>
        <v/>
      </c>
      <c r="F30" s="163" t="str">
        <f>IFERROR(VLOOKUP(B30,'03114902'!B:L,11,0),"")</f>
        <v/>
      </c>
      <c r="G30" s="163" t="str">
        <f>IFERROR(VLOOKUP(D30,FIDELIZAÇÃO!C:E,3,0),"")</f>
        <v/>
      </c>
      <c r="H30" s="9" t="str">
        <f>IFERROR(VLOOKUP(G30,FIDELIZAÇÃO!E:F,2,0),"")</f>
        <v/>
      </c>
      <c r="I30" s="163" t="str">
        <f>IFERROR(VLOOKUP(D30,FIDELIZAÇÃO!C:G,5,0),"")</f>
        <v/>
      </c>
      <c r="J30" s="9" t="str">
        <f>IFERROR(VLOOKUP(I30,FIDELIZAÇÃO!G:H,2,0),"")</f>
        <v/>
      </c>
      <c r="K30" s="163" t="str">
        <f>IFERROR(VLOOKUP(B30,'03114902'!B:X,23,0),"")</f>
        <v/>
      </c>
      <c r="L30" s="9" t="str">
        <f>IFERROR(VLOOKUP(B30,'03114902'!B:AM,38,0),"")</f>
        <v/>
      </c>
      <c r="M30" s="9" t="str">
        <f>IFERROR(VLOOKUP(B30,'03114902'!B:AN,39,0),"")</f>
        <v/>
      </c>
      <c r="N30" s="177" t="str">
        <f>IFERROR(VLOOKUP(B30,'03114902'!B:V,21,0),"")</f>
        <v/>
      </c>
      <c r="O30" s="178" t="str">
        <f>IFERROR(VLOOKUP(B30,'03114902'!B:W,22,0),"")</f>
        <v/>
      </c>
      <c r="P30" s="163" t="str">
        <f>IFERROR(VLOOKUP(B30,'03114902'!B:Y,24,0),"")</f>
        <v/>
      </c>
      <c r="Q30" s="180" t="str">
        <f>IFERROR(VLOOKUP(B30,'03114902'!B:Z,25,0) * 0.01,"")</f>
        <v/>
      </c>
      <c r="R30" s="163" t="str">
        <f>IFERROR(VLOOKUP(B30,'03114902'!B:AA,26,0),"")</f>
        <v/>
      </c>
      <c r="S30" s="181" t="str">
        <f>IFERROR(VLOOKUP(B30,'03114902'!B:AB,27,0) * 0.01,"")</f>
        <v/>
      </c>
    </row>
    <row r="31" spans="1:35" ht="15.75">
      <c r="B31" s="15" t="str">
        <f>IF(FIDELIZAÇÃO!C29 = "", "NA", FIDELIZAÇÃO!C29)</f>
        <v>NA</v>
      </c>
      <c r="C31" s="164" t="str">
        <f>IFERROR(VLOOKUP(B31,'03114902'!B:G,6,0),"")</f>
        <v/>
      </c>
      <c r="D31" s="157" t="str">
        <f>IFERROR(VLOOKUP(B31,'03114902'!B:O,14,0),"")</f>
        <v/>
      </c>
      <c r="E31" s="163" t="str">
        <f>IFERROR(VLOOKUP(B31,'03114902'!B:I,8,0),"")</f>
        <v/>
      </c>
      <c r="F31" s="163" t="str">
        <f>IFERROR(VLOOKUP(B31,'03114902'!B:L,11,0),"")</f>
        <v/>
      </c>
      <c r="G31" s="163" t="str">
        <f>IFERROR(VLOOKUP(D31,FIDELIZAÇÃO!C:E,3,0),"")</f>
        <v/>
      </c>
      <c r="H31" s="9" t="str">
        <f>IFERROR(VLOOKUP(G31,FIDELIZAÇÃO!E:F,2,0),"")</f>
        <v/>
      </c>
      <c r="I31" s="163" t="str">
        <f>IFERROR(VLOOKUP(D31,FIDELIZAÇÃO!C:G,5,0),"")</f>
        <v/>
      </c>
      <c r="J31" s="9" t="str">
        <f>IFERROR(VLOOKUP(I31,FIDELIZAÇÃO!G:H,2,0),"")</f>
        <v/>
      </c>
      <c r="K31" s="163" t="str">
        <f>IFERROR(VLOOKUP(B31,'03114902'!B:X,23,0),"")</f>
        <v/>
      </c>
      <c r="L31" s="9" t="str">
        <f>IFERROR(VLOOKUP(B31,'03114902'!B:AM,38,0),"")</f>
        <v/>
      </c>
      <c r="M31" s="9" t="str">
        <f>IFERROR(VLOOKUP(B31,'03114902'!B:AN,39,0),"")</f>
        <v/>
      </c>
      <c r="N31" s="177" t="str">
        <f>IFERROR(VLOOKUP(B31,'03114902'!B:V,21,0),"")</f>
        <v/>
      </c>
      <c r="O31" s="178" t="str">
        <f>IFERROR(VLOOKUP(B31,'03114902'!B:W,22,0),"")</f>
        <v/>
      </c>
      <c r="P31" s="163" t="str">
        <f>IFERROR(VLOOKUP(B31,'03114902'!B:Y,24,0),"")</f>
        <v/>
      </c>
      <c r="Q31" s="180" t="str">
        <f>IFERROR(VLOOKUP(B31,'03114902'!B:Z,25,0) * 0.01,"")</f>
        <v/>
      </c>
      <c r="R31" s="163" t="str">
        <f>IFERROR(VLOOKUP(B31,'03114902'!B:AA,26,0),"")</f>
        <v/>
      </c>
      <c r="S31" s="181" t="str">
        <f>IFERROR(VLOOKUP(B31,'03114902'!B:AB,27,0) * 0.01,"")</f>
        <v/>
      </c>
    </row>
    <row r="32" spans="1:35" ht="15.75">
      <c r="B32" s="15" t="str">
        <f>IF(FIDELIZAÇÃO!C30 = "", "NA", FIDELIZAÇÃO!C30)</f>
        <v>NA</v>
      </c>
      <c r="C32" s="164" t="str">
        <f>IFERROR(VLOOKUP(B32,'03114902'!B:G,6,0),"")</f>
        <v/>
      </c>
      <c r="D32" s="157" t="str">
        <f>IFERROR(VLOOKUP(B32,'03114902'!B:O,14,0),"")</f>
        <v/>
      </c>
      <c r="E32" s="163" t="str">
        <f>IFERROR(VLOOKUP(B32,'03114902'!B:I,8,0),"")</f>
        <v/>
      </c>
      <c r="F32" s="163" t="str">
        <f>IFERROR(VLOOKUP(B32,'03114902'!B:L,11,0),"")</f>
        <v/>
      </c>
      <c r="G32" s="163" t="str">
        <f>IFERROR(VLOOKUP(D32,FIDELIZAÇÃO!C:E,3,0),"")</f>
        <v/>
      </c>
      <c r="H32" s="9" t="str">
        <f>IFERROR(VLOOKUP(G32,FIDELIZAÇÃO!E:F,2,0),"")</f>
        <v/>
      </c>
      <c r="I32" s="163" t="str">
        <f>IFERROR(VLOOKUP(D32,FIDELIZAÇÃO!C:G,5,0),"")</f>
        <v/>
      </c>
      <c r="J32" s="9" t="str">
        <f>IFERROR(VLOOKUP(I32,FIDELIZAÇÃO!G:H,2,0),"")</f>
        <v/>
      </c>
      <c r="K32" s="163" t="str">
        <f>IFERROR(VLOOKUP(B32,'03114902'!B:X,23,0),"")</f>
        <v/>
      </c>
      <c r="L32" s="9" t="str">
        <f>IFERROR(VLOOKUP(B32,'03114902'!B:AM,38,0),"")</f>
        <v/>
      </c>
      <c r="M32" s="9" t="str">
        <f>IFERROR(VLOOKUP(B32,'03114902'!B:AN,39,0),"")</f>
        <v/>
      </c>
      <c r="N32" s="177" t="str">
        <f>IFERROR(VLOOKUP(B32,'03114902'!B:V,21,0),"")</f>
        <v/>
      </c>
      <c r="O32" s="178" t="str">
        <f>IFERROR(VLOOKUP(B32,'03114902'!B:W,22,0),"")</f>
        <v/>
      </c>
      <c r="P32" s="163" t="str">
        <f>IFERROR(VLOOKUP(B32,'03114902'!B:Y,24,0),"")</f>
        <v/>
      </c>
      <c r="Q32" s="180" t="str">
        <f>IFERROR(VLOOKUP(B32,'03114902'!B:Z,25,0) * 0.01,"")</f>
        <v/>
      </c>
      <c r="R32" s="163" t="str">
        <f>IFERROR(VLOOKUP(B32,'03114902'!B:AA,26,0),"")</f>
        <v/>
      </c>
      <c r="S32" s="181" t="str">
        <f>IFERROR(VLOOKUP(B32,'03114902'!B:AB,27,0) * 0.01,"")</f>
        <v/>
      </c>
    </row>
    <row r="33" spans="2:19" ht="15.75">
      <c r="B33" s="15" t="str">
        <f>IF(FIDELIZAÇÃO!C31 = "", "NA", FIDELIZAÇÃO!C31)</f>
        <v>NA</v>
      </c>
      <c r="C33" s="164" t="str">
        <f>IFERROR(VLOOKUP(B33,'03114902'!B:G,6,0),"")</f>
        <v/>
      </c>
      <c r="D33" s="157" t="str">
        <f>IFERROR(VLOOKUP(B33,'03114902'!B:O,14,0),"")</f>
        <v/>
      </c>
      <c r="E33" s="163" t="str">
        <f>IFERROR(VLOOKUP(B33,'03114902'!B:I,8,0),"")</f>
        <v/>
      </c>
      <c r="F33" s="163" t="str">
        <f>IFERROR(VLOOKUP(B33,'03114902'!B:L,11,0),"")</f>
        <v/>
      </c>
      <c r="G33" s="163" t="str">
        <f>IFERROR(VLOOKUP(D33,FIDELIZAÇÃO!C:E,3,0),"")</f>
        <v/>
      </c>
      <c r="H33" s="9" t="str">
        <f>IFERROR(VLOOKUP(G33,FIDELIZAÇÃO!E:F,2,0),"")</f>
        <v/>
      </c>
      <c r="I33" s="163" t="str">
        <f>IFERROR(VLOOKUP(D33,FIDELIZAÇÃO!C:G,5,0),"")</f>
        <v/>
      </c>
      <c r="J33" s="9" t="str">
        <f>IFERROR(VLOOKUP(I33,FIDELIZAÇÃO!G:H,2,0),"")</f>
        <v/>
      </c>
      <c r="K33" s="163" t="str">
        <f>IFERROR(VLOOKUP(B33,'03114902'!B:X,23,0),"")</f>
        <v/>
      </c>
      <c r="L33" s="9" t="str">
        <f>IFERROR(VLOOKUP(B33,'03114902'!B:AM,38,0),"")</f>
        <v/>
      </c>
      <c r="M33" s="9" t="str">
        <f>IFERROR(VLOOKUP(B33,'03114902'!B:AN,39,0),"")</f>
        <v/>
      </c>
      <c r="N33" s="177" t="str">
        <f>IFERROR(VLOOKUP(B33,'03114902'!B:V,21,0),"")</f>
        <v/>
      </c>
      <c r="O33" s="178" t="str">
        <f>IFERROR(VLOOKUP(B33,'03114902'!B:W,22,0),"")</f>
        <v/>
      </c>
      <c r="P33" s="163" t="str">
        <f>IFERROR(VLOOKUP(B33,'03114902'!B:Y,24,0),"")</f>
        <v/>
      </c>
      <c r="Q33" s="180" t="str">
        <f>IFERROR(VLOOKUP(B33,'03114902'!B:Z,25,0) * 0.01,"")</f>
        <v/>
      </c>
      <c r="R33" s="163" t="str">
        <f>IFERROR(VLOOKUP(B33,'03114902'!B:AA,26,0),"")</f>
        <v/>
      </c>
      <c r="S33" s="181" t="str">
        <f>IFERROR(VLOOKUP(B33,'03114902'!B:AB,27,0) * 0.01,"")</f>
        <v/>
      </c>
    </row>
    <row r="34" spans="2:19" ht="15.75">
      <c r="B34" s="168"/>
      <c r="C34" s="173"/>
      <c r="D34" s="170"/>
      <c r="E34" s="168"/>
      <c r="F34" s="168"/>
      <c r="G34" s="168"/>
      <c r="H34" s="167"/>
      <c r="I34" s="168"/>
      <c r="J34" s="167"/>
      <c r="K34" s="168"/>
      <c r="L34" s="167"/>
      <c r="M34" s="167"/>
      <c r="N34" s="171"/>
      <c r="O34" s="172"/>
      <c r="P34" s="168"/>
      <c r="Q34" s="168"/>
      <c r="R34" s="168"/>
      <c r="S34" s="168"/>
    </row>
    <row r="35" spans="2:19" ht="24">
      <c r="C35" s="290" t="s">
        <v>23</v>
      </c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</row>
    <row r="36" spans="2:19" ht="15.75">
      <c r="B36" s="13" t="s">
        <v>2</v>
      </c>
      <c r="C36" s="9" t="s">
        <v>3</v>
      </c>
      <c r="D36" s="9" t="s">
        <v>4</v>
      </c>
      <c r="E36" s="9" t="s">
        <v>5</v>
      </c>
      <c r="F36" s="9" t="s">
        <v>6</v>
      </c>
      <c r="G36" s="9" t="s">
        <v>7</v>
      </c>
      <c r="H36" s="9" t="s">
        <v>8</v>
      </c>
      <c r="I36" s="9" t="s">
        <v>9</v>
      </c>
      <c r="J36" s="9" t="s">
        <v>10</v>
      </c>
      <c r="K36" s="9" t="s">
        <v>11</v>
      </c>
      <c r="L36" s="9" t="s">
        <v>12</v>
      </c>
      <c r="M36" s="9" t="s">
        <v>13</v>
      </c>
      <c r="N36" s="9" t="s">
        <v>14</v>
      </c>
      <c r="O36" s="14" t="s">
        <v>15</v>
      </c>
      <c r="P36" s="9" t="s">
        <v>16</v>
      </c>
      <c r="Q36" s="9" t="s">
        <v>17</v>
      </c>
      <c r="R36" s="9" t="s">
        <v>18</v>
      </c>
      <c r="S36" s="9" t="s">
        <v>19</v>
      </c>
    </row>
    <row r="37" spans="2:19" ht="15.75">
      <c r="B37" s="15" t="str">
        <f>IF(FIDELIZAÇÃO!C38 = "", "NA", FIDELIZAÇÃO!C38)</f>
        <v>RAI4107</v>
      </c>
      <c r="C37" s="164" t="str">
        <f>IFERROR(VLOOKUP(B37,'03114902'!B:G,6,0),"")</f>
        <v/>
      </c>
      <c r="D37" s="163" t="str">
        <f>IFERROR(VLOOKUP(B37,'03114902'!B:O,14,0),"")</f>
        <v/>
      </c>
      <c r="E37" s="163" t="str">
        <f>IFERROR(VLOOKUP(B37,'03114902'!B:I,8,0),"")</f>
        <v/>
      </c>
      <c r="F37" s="163" t="str">
        <f>IFERROR(VLOOKUP(B37,'03114902'!B:L,11,0),"")</f>
        <v/>
      </c>
      <c r="G37" s="163" t="str">
        <f>IFERROR(VLOOKUP(D37,FIDELIZAÇÃO!C:E,3,0),"")</f>
        <v/>
      </c>
      <c r="H37" s="9" t="str">
        <f>IFERROR(VLOOKUP(G37,FIDELIZAÇÃO!E:F,2,0),"")</f>
        <v/>
      </c>
      <c r="I37" s="163" t="str">
        <f>IFERROR(VLOOKUP(D37,FIDELIZAÇÃO!C:G,5,0),"")</f>
        <v/>
      </c>
      <c r="J37" s="9" t="str">
        <f>IFERROR(VLOOKUP(I37,FIDELIZAÇÃO!G:H,2,0),"")</f>
        <v/>
      </c>
      <c r="K37" s="163" t="str">
        <f>IFERROR(VLOOKUP(B37,'03114902'!B:X,23,0),"")</f>
        <v/>
      </c>
      <c r="L37" s="9" t="str">
        <f>IFERROR(VLOOKUP(B37,'03114902'!B:AM,38,0),"")</f>
        <v/>
      </c>
      <c r="M37" s="9" t="str">
        <f>IFERROR(VLOOKUP(B37,'03114902'!B:AN,39,0),"")</f>
        <v/>
      </c>
      <c r="N37" s="177" t="str">
        <f>IFERROR(VLOOKUP(B37,'03114902'!B:V,21,0),"")</f>
        <v/>
      </c>
      <c r="O37" s="178" t="str">
        <f>IFERROR(VLOOKUP(B37,'03114902'!B:W,22,0),"")</f>
        <v/>
      </c>
      <c r="P37" s="163" t="str">
        <f>IFERROR(VLOOKUP(B37,'03114902'!B:Y,24,0),"")</f>
        <v/>
      </c>
      <c r="Q37" s="180" t="str">
        <f>IFERROR(VLOOKUP(B37,'03114902'!B:Z,25,0) * 0.01,"")</f>
        <v/>
      </c>
      <c r="R37" s="163" t="str">
        <f>IFERROR(VLOOKUP(B37,'03114902'!B:AA,26,0),"")</f>
        <v/>
      </c>
      <c r="S37" s="181" t="str">
        <f>IFERROR(VLOOKUP(B37,'03114902'!B:AB,27,0) * 0.01,"")</f>
        <v/>
      </c>
    </row>
    <row r="38" spans="2:19" ht="15.75">
      <c r="B38" s="15" t="str">
        <f>IF(FIDELIZAÇÃO!C39 = "", "NA", FIDELIZAÇÃO!C39)</f>
        <v>NA</v>
      </c>
      <c r="C38" s="164" t="str">
        <f>IFERROR(VLOOKUP(B38,'03114902'!B:G,6,0),"")</f>
        <v/>
      </c>
      <c r="D38" s="163" t="str">
        <f>IFERROR(VLOOKUP(B38,'03114902'!B:O,14,0),"")</f>
        <v/>
      </c>
      <c r="E38" s="163" t="str">
        <f>IFERROR(VLOOKUP(B38,'03114902'!B:I,8,0),"")</f>
        <v/>
      </c>
      <c r="F38" s="163" t="str">
        <f>IFERROR(VLOOKUP(B38,'03114902'!B:L,11,0),"")</f>
        <v/>
      </c>
      <c r="G38" s="163" t="str">
        <f>IFERROR(VLOOKUP(D38,FIDELIZAÇÃO!C:E,3,0),"")</f>
        <v/>
      </c>
      <c r="H38" s="9" t="str">
        <f>IFERROR(VLOOKUP(G38,FIDELIZAÇÃO!E:F,2,0),"")</f>
        <v/>
      </c>
      <c r="I38" s="163" t="str">
        <f>IFERROR(VLOOKUP(D38,FIDELIZAÇÃO!C:G,5,0),"")</f>
        <v/>
      </c>
      <c r="J38" s="9" t="str">
        <f>IFERROR(VLOOKUP(I38,FIDELIZAÇÃO!G:H,2,0),"")</f>
        <v/>
      </c>
      <c r="K38" s="163" t="str">
        <f>IFERROR(VLOOKUP(B38,'03114902'!B:X,23,0),"")</f>
        <v/>
      </c>
      <c r="L38" s="9" t="str">
        <f>IFERROR(VLOOKUP(B38,'03114902'!B:AM,38,0),"")</f>
        <v/>
      </c>
      <c r="M38" s="9" t="str">
        <f>IFERROR(VLOOKUP(B38,'03114902'!B:AN,39,0),"")</f>
        <v/>
      </c>
      <c r="N38" s="177" t="str">
        <f>IFERROR(VLOOKUP(B38,'03114902'!B:V,21,0),"")</f>
        <v/>
      </c>
      <c r="O38" s="178" t="str">
        <f>IFERROR(VLOOKUP(B38,'03114902'!B:W,22,0),"")</f>
        <v/>
      </c>
      <c r="P38" s="163" t="str">
        <f>IFERROR(VLOOKUP(B38,'03114902'!B:Y,24,0),"")</f>
        <v/>
      </c>
      <c r="Q38" s="180" t="str">
        <f>IFERROR(VLOOKUP(B38,'03114902'!B:Z,25,0) * 0.01,"")</f>
        <v/>
      </c>
      <c r="R38" s="163" t="str">
        <f>IFERROR(VLOOKUP(B38,'03114902'!B:AA,26,0),"")</f>
        <v/>
      </c>
      <c r="S38" s="181" t="str">
        <f>IFERROR(VLOOKUP(B38,'03114902'!B:AB,27,0) * 0.01,"")</f>
        <v/>
      </c>
    </row>
    <row r="39" spans="2:19" ht="15.75">
      <c r="B39" s="15" t="str">
        <f>IF(FIDELIZAÇÃO!C40 = "", "NA", FIDELIZAÇÃO!C40)</f>
        <v>NA</v>
      </c>
      <c r="C39" s="164" t="str">
        <f>IFERROR(VLOOKUP(B39,'03114902'!B:G,6,0),"")</f>
        <v/>
      </c>
      <c r="D39" s="163" t="str">
        <f>IFERROR(VLOOKUP(B39,'03114902'!B:O,14,0),"")</f>
        <v/>
      </c>
      <c r="E39" s="163" t="str">
        <f>IFERROR(VLOOKUP(B39,'03114902'!B:I,8,0),"")</f>
        <v/>
      </c>
      <c r="F39" s="163" t="str">
        <f>IFERROR(VLOOKUP(B39,'03114902'!B:L,11,0),"")</f>
        <v/>
      </c>
      <c r="G39" s="163" t="str">
        <f>IFERROR(VLOOKUP(D39,FIDELIZAÇÃO!C:E,3,0),"")</f>
        <v/>
      </c>
      <c r="H39" s="9" t="str">
        <f>IFERROR(VLOOKUP(G39,FIDELIZAÇÃO!E:F,2,0),"")</f>
        <v/>
      </c>
      <c r="I39" s="163" t="str">
        <f>IFERROR(VLOOKUP(D39,FIDELIZAÇÃO!C:G,5,0),"")</f>
        <v/>
      </c>
      <c r="J39" s="9" t="str">
        <f>IFERROR(VLOOKUP(I39,FIDELIZAÇÃO!G:H,2,0),"")</f>
        <v/>
      </c>
      <c r="K39" s="163" t="str">
        <f>IFERROR(VLOOKUP(B39,'03114902'!B:X,23,0),"")</f>
        <v/>
      </c>
      <c r="L39" s="9" t="str">
        <f>IFERROR(VLOOKUP(B39,'03114902'!B:AM,38,0),"")</f>
        <v/>
      </c>
      <c r="M39" s="9" t="str">
        <f>IFERROR(VLOOKUP(B39,'03114902'!B:AN,39,0),"")</f>
        <v/>
      </c>
      <c r="N39" s="177" t="str">
        <f>IFERROR(VLOOKUP(B39,'03114902'!B:V,21,0),"")</f>
        <v/>
      </c>
      <c r="O39" s="178" t="str">
        <f>IFERROR(VLOOKUP(B39,'03114902'!B:W,22,0),"")</f>
        <v/>
      </c>
      <c r="P39" s="163" t="str">
        <f>IFERROR(VLOOKUP(B39,'03114902'!B:Y,24,0),"")</f>
        <v/>
      </c>
      <c r="Q39" s="180" t="str">
        <f>IFERROR(VLOOKUP(B39,'03114902'!B:Z,25,0) * 0.01,"")</f>
        <v/>
      </c>
      <c r="R39" s="163" t="str">
        <f>IFERROR(VLOOKUP(B39,'03114902'!B:AA,26,0),"")</f>
        <v/>
      </c>
      <c r="S39" s="181" t="str">
        <f>IFERROR(VLOOKUP(B39,'03114902'!B:AB,27,0) * 0.01,"")</f>
        <v/>
      </c>
    </row>
    <row r="40" spans="2:19" ht="15.75">
      <c r="B40" s="15" t="str">
        <f>IF(FIDELIZAÇÃO!C41 = "", "NA", FIDELIZAÇÃO!C41)</f>
        <v>NA</v>
      </c>
      <c r="C40" s="164" t="str">
        <f>IFERROR(VLOOKUP(B40,'03114902'!B:G,6,0),"")</f>
        <v/>
      </c>
      <c r="D40" s="163" t="str">
        <f>IFERROR(VLOOKUP(B40,'03114902'!B:O,14,0),"")</f>
        <v/>
      </c>
      <c r="E40" s="163" t="str">
        <f>IFERROR(VLOOKUP(B40,'03114902'!B:I,8,0),"")</f>
        <v/>
      </c>
      <c r="F40" s="163" t="str">
        <f>IFERROR(VLOOKUP(B40,'03114902'!B:L,11,0),"")</f>
        <v/>
      </c>
      <c r="G40" s="163" t="str">
        <f>IFERROR(VLOOKUP(D40,FIDELIZAÇÃO!C:E,3,0),"")</f>
        <v/>
      </c>
      <c r="H40" s="9" t="str">
        <f>IFERROR(VLOOKUP(G40,FIDELIZAÇÃO!E:F,2,0),"")</f>
        <v/>
      </c>
      <c r="I40" s="163" t="str">
        <f>IFERROR(VLOOKUP(D40,FIDELIZAÇÃO!C:G,5,0),"")</f>
        <v/>
      </c>
      <c r="J40" s="9" t="str">
        <f>IFERROR(VLOOKUP(I40,FIDELIZAÇÃO!G:H,2,0),"")</f>
        <v/>
      </c>
      <c r="K40" s="163" t="str">
        <f>IFERROR(VLOOKUP(B40,'03114902'!B:X,23,0),"")</f>
        <v/>
      </c>
      <c r="L40" s="9" t="str">
        <f>IFERROR(VLOOKUP(B40,'03114902'!B:AM,38,0),"")</f>
        <v/>
      </c>
      <c r="M40" s="9" t="str">
        <f>IFERROR(VLOOKUP(B40,'03114902'!B:AN,39,0),"")</f>
        <v/>
      </c>
      <c r="N40" s="177" t="str">
        <f>IFERROR(VLOOKUP(B40,'03114902'!B:V,21,0),"")</f>
        <v/>
      </c>
      <c r="O40" s="178" t="str">
        <f>IFERROR(VLOOKUP(B40,'03114902'!B:W,22,0),"")</f>
        <v/>
      </c>
      <c r="P40" s="163" t="str">
        <f>IFERROR(VLOOKUP(B40,'03114902'!B:Y,24,0),"")</f>
        <v/>
      </c>
      <c r="Q40" s="180" t="str">
        <f>IFERROR(VLOOKUP(B40,'03114902'!B:Z,25,0) * 0.01,"")</f>
        <v/>
      </c>
      <c r="R40" s="163" t="str">
        <f>IFERROR(VLOOKUP(B40,'03114902'!B:AA,26,0),"")</f>
        <v/>
      </c>
      <c r="S40" s="181" t="str">
        <f>IFERROR(VLOOKUP(B40,'03114902'!B:AB,27,0) * 0.01,"")</f>
        <v/>
      </c>
    </row>
    <row r="41" spans="2:19">
      <c r="B41" s="174"/>
      <c r="C41" s="234"/>
      <c r="D41" s="1"/>
      <c r="E41" s="1"/>
      <c r="F41" s="1"/>
      <c r="G41" s="1"/>
      <c r="H41"/>
      <c r="I41" s="1"/>
      <c r="J41"/>
      <c r="K41" s="1"/>
      <c r="L41"/>
      <c r="M41" s="235"/>
      <c r="N41" s="236"/>
      <c r="O41" s="1"/>
      <c r="P41" s="1"/>
      <c r="Q41" s="1"/>
      <c r="R41" s="1"/>
    </row>
    <row r="42" spans="2:19" ht="24">
      <c r="C42" s="291" t="s">
        <v>24</v>
      </c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</row>
    <row r="43" spans="2:19" ht="15.75">
      <c r="B43" s="13" t="s">
        <v>2</v>
      </c>
      <c r="C43" s="9" t="s">
        <v>3</v>
      </c>
      <c r="D43" s="9" t="s">
        <v>4</v>
      </c>
      <c r="E43" s="9" t="s">
        <v>5</v>
      </c>
      <c r="F43" s="9" t="s">
        <v>6</v>
      </c>
      <c r="G43" s="9" t="s">
        <v>7</v>
      </c>
      <c r="H43" s="9" t="s">
        <v>8</v>
      </c>
      <c r="I43" s="9" t="s">
        <v>9</v>
      </c>
      <c r="J43" s="9" t="s">
        <v>10</v>
      </c>
      <c r="K43" s="9" t="s">
        <v>11</v>
      </c>
      <c r="L43" s="9" t="s">
        <v>12</v>
      </c>
      <c r="M43" s="9" t="s">
        <v>13</v>
      </c>
      <c r="N43" s="9" t="s">
        <v>14</v>
      </c>
      <c r="O43" s="14" t="s">
        <v>15</v>
      </c>
      <c r="P43" s="9" t="s">
        <v>16</v>
      </c>
      <c r="Q43" s="9" t="s">
        <v>17</v>
      </c>
      <c r="R43" s="9" t="s">
        <v>18</v>
      </c>
      <c r="S43" s="9" t="s">
        <v>19</v>
      </c>
    </row>
    <row r="44" spans="2:19" ht="15.75">
      <c r="B44" s="15" t="str">
        <f>IF(FIDELIZAÇÃO!C34 = "", "NA", FIDELIZAÇÃO!C34)</f>
        <v>FUX6061</v>
      </c>
      <c r="C44" s="164">
        <f>IFERROR(VLOOKUP(B44,'03114902'!B:G,6,0),"")</f>
        <v>46297</v>
      </c>
      <c r="D44" s="163" t="str">
        <f>IFERROR(VLOOKUP(B44,'03114902'!B:O,14,0),"")</f>
        <v>FUX6061</v>
      </c>
      <c r="E44" s="163">
        <f>IFERROR(VLOOKUP(B44,'03114902'!B:I,8,0),"")</f>
        <v>179803</v>
      </c>
      <c r="F44" s="163" t="str">
        <f>IFERROR(VLOOKUP(B44,'03114902'!B:L,11,0),"")</f>
        <v>Rota</v>
      </c>
      <c r="G44" s="157">
        <f>IFERROR(VLOOKUP(D44,FIDELIZAÇÃO!C:E,3,0),"")</f>
        <v>244</v>
      </c>
      <c r="H44" s="179" t="str">
        <f>IFERROR(VLOOKUP(G44,FIDELIZAÇÃO!E:F,2,0),"")</f>
        <v>ANDRE APARECIDO</v>
      </c>
      <c r="I44" s="163">
        <f>IFERROR(VLOOKUP(D44,FIDELIZAÇÃO!C:G,5,0),"")</f>
        <v>170</v>
      </c>
      <c r="J44" s="9" t="str">
        <f>IFERROR(VLOOKUP(I44,FIDELIZAÇÃO!G:H,2,0),"")</f>
        <v>ALBERTO RAMON FRUTOS</v>
      </c>
      <c r="K44" s="163">
        <f>IFERROR(VLOOKUP(B44,'03114902'!B:X,23,0),"")</f>
        <v>17</v>
      </c>
      <c r="L44" s="9" t="str">
        <f>IFERROR(VLOOKUP(B44,'03114902'!B:AM,38,0),"")</f>
        <v>FOZ DO IGUACU (17)</v>
      </c>
      <c r="M44" s="9" t="str">
        <f>IFERROR(VLOOKUP(B44,'03114902'!B:AN,39,0),"")</f>
        <v>[FOZ]: PANORAMA (2) / CARIMA (2) / CENTRO (1) / COHAPAR III (1) / JARDIM DAS LARANJEIRAS (1) / JARDIM PANORAMA (1) / JARDIM SAO PAULO II (1) / MORUMBI I (1) / PARQUE MORUMBI I (1) / PARQUE RESIDENCIAL MORUMBI II (1) / VILA BORGES (1) / CIDADE NOVA (1) / PORTES (1) / SAO ROQUE (1) / MORUMBI (1)</v>
      </c>
      <c r="N44" s="177">
        <f>IFERROR(VLOOKUP(B44,'03114902'!B:V,21,0),"")</f>
        <v>65.25</v>
      </c>
      <c r="O44" s="178">
        <f>IFERROR(VLOOKUP(B44,'03114902'!B:W,22,0),"")</f>
        <v>0.42986111111111114</v>
      </c>
      <c r="P44" s="163">
        <f>IFERROR(VLOOKUP(B44,'03114902'!B:Y,24,0),"")</f>
        <v>188.5</v>
      </c>
      <c r="Q44" s="180">
        <f>IFERROR(VLOOKUP(B44,'03114902'!B:Z,25,0) * 0.01,"")</f>
        <v>0.61199999999999999</v>
      </c>
      <c r="R44" s="163">
        <f>IFERROR(VLOOKUP(B44,'03114902'!B:AA,26,0),"")</f>
        <v>4992</v>
      </c>
      <c r="S44" s="182">
        <f>IFERROR(VLOOKUP(B44,'03114902'!B:AB,27,0) * 0.01,"")</f>
        <v>0.59770000000000001</v>
      </c>
    </row>
    <row r="45" spans="2:19" ht="15.75">
      <c r="B45" s="15" t="str">
        <f>IF(FIDELIZAÇÃO!C35 = "", "NA", FIDELIZAÇÃO!C35)</f>
        <v>NA</v>
      </c>
      <c r="C45" s="164" t="str">
        <f>IFERROR(VLOOKUP(B45,'03114902'!B:G,6,0),"")</f>
        <v/>
      </c>
      <c r="D45" s="163" t="str">
        <f>IFERROR(VLOOKUP(B45,'03114902'!B:O,14,0),"")</f>
        <v/>
      </c>
      <c r="E45" s="163" t="str">
        <f>IFERROR(VLOOKUP(B45,'03114902'!B:I,8,0),"")</f>
        <v/>
      </c>
      <c r="F45" s="163" t="str">
        <f>IFERROR(VLOOKUP(B45,'03114902'!B:L,11,0),"")</f>
        <v/>
      </c>
      <c r="G45" s="157" t="str">
        <f>IFERROR(VLOOKUP(D45,FIDELIZAÇÃO!C:E,3,0),"")</f>
        <v/>
      </c>
      <c r="H45" s="179" t="str">
        <f>IFERROR(VLOOKUP(G45,FIDELIZAÇÃO!E:F,2,0),"")</f>
        <v/>
      </c>
      <c r="I45" s="163" t="str">
        <f>IFERROR(VLOOKUP(D45,FIDELIZAÇÃO!C:G,5,0),"")</f>
        <v/>
      </c>
      <c r="J45" s="9" t="str">
        <f>IFERROR(VLOOKUP(I45,FIDELIZAÇÃO!G:H,2,0),"")</f>
        <v/>
      </c>
      <c r="K45" s="163" t="str">
        <f>IFERROR(VLOOKUP(B45,'03114902'!B:X,23,0),"")</f>
        <v/>
      </c>
      <c r="L45" s="9" t="str">
        <f>IFERROR(VLOOKUP(B45,'03114902'!B:AM,38,0),"")</f>
        <v/>
      </c>
      <c r="M45" s="9" t="str">
        <f>IFERROR(VLOOKUP(B45,'03114902'!B:AN,39,0),"")</f>
        <v/>
      </c>
      <c r="N45" s="177" t="str">
        <f>IFERROR(VLOOKUP(B45,'03114902'!B:V,21,0),"")</f>
        <v/>
      </c>
      <c r="O45" s="178" t="str">
        <f>IFERROR(VLOOKUP(B45,'03114902'!B:W,22,0),"")</f>
        <v/>
      </c>
      <c r="P45" s="163" t="str">
        <f>IFERROR(VLOOKUP(B45,'03114902'!B:Y,24,0),"")</f>
        <v/>
      </c>
      <c r="Q45" s="180" t="str">
        <f>IFERROR(VLOOKUP(B45,'03114902'!B:Z,25,0) * 0.01,"")</f>
        <v/>
      </c>
      <c r="R45" s="163" t="str">
        <f>IFERROR(VLOOKUP(B45,'03114902'!B:AA,26,0),"")</f>
        <v/>
      </c>
      <c r="S45" s="182" t="str">
        <f>IFERROR(VLOOKUP(B45,'03114902'!B:AB,27,0) * 0.01,"")</f>
        <v/>
      </c>
    </row>
    <row r="46" spans="2:19" ht="15.75">
      <c r="B46" s="168"/>
      <c r="C46" s="173"/>
      <c r="D46" s="168"/>
      <c r="E46" s="168"/>
      <c r="F46" s="168"/>
      <c r="G46" s="170"/>
      <c r="H46" s="176"/>
      <c r="I46" s="168"/>
      <c r="J46" s="167"/>
      <c r="K46" s="168"/>
      <c r="L46" s="167"/>
      <c r="M46" s="167"/>
      <c r="N46" s="171"/>
      <c r="O46" s="172"/>
      <c r="P46" s="168"/>
      <c r="Q46" s="168"/>
      <c r="R46" s="168"/>
      <c r="S46" s="168"/>
    </row>
    <row r="47" spans="2:19" ht="24">
      <c r="C47" s="290" t="s">
        <v>25</v>
      </c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</row>
    <row r="48" spans="2:19" ht="15.75">
      <c r="B48" s="13" t="s">
        <v>2</v>
      </c>
      <c r="C48" s="9" t="s">
        <v>3</v>
      </c>
      <c r="D48" s="9" t="s">
        <v>4</v>
      </c>
      <c r="E48" s="9" t="s">
        <v>5</v>
      </c>
      <c r="F48" s="9" t="s">
        <v>6</v>
      </c>
      <c r="G48" s="9" t="s">
        <v>7</v>
      </c>
      <c r="H48" s="9" t="s">
        <v>8</v>
      </c>
      <c r="I48" s="9" t="s">
        <v>9</v>
      </c>
      <c r="J48" s="9" t="s">
        <v>10</v>
      </c>
      <c r="K48" s="9" t="s">
        <v>11</v>
      </c>
      <c r="L48" s="9" t="s">
        <v>12</v>
      </c>
      <c r="M48" s="9" t="s">
        <v>13</v>
      </c>
      <c r="N48" s="9" t="s">
        <v>14</v>
      </c>
      <c r="O48" s="14" t="s">
        <v>15</v>
      </c>
      <c r="P48" s="9" t="s">
        <v>16</v>
      </c>
      <c r="Q48" s="9" t="s">
        <v>17</v>
      </c>
      <c r="R48" s="9" t="s">
        <v>18</v>
      </c>
      <c r="S48" s="9" t="s">
        <v>19</v>
      </c>
    </row>
    <row r="49" spans="2:19" ht="15.75">
      <c r="B49" s="15" t="str">
        <f>IF(FIDELIZAÇÃO!C45 = "", "NA", FIDELIZAÇÃO!C45)</f>
        <v>EWU3H21</v>
      </c>
      <c r="C49" s="164">
        <f>IFERROR(VLOOKUP(B49,'03114902'!B:G,6,0),"")</f>
        <v>46297</v>
      </c>
      <c r="D49" s="163" t="str">
        <f>IFERROR(VLOOKUP(B49,'03114902'!B:O,14,0),"")</f>
        <v>EWU3H21</v>
      </c>
      <c r="E49" s="163">
        <f>IFERROR(VLOOKUP(B49,'03114902'!B:I,8,0),"")</f>
        <v>179799</v>
      </c>
      <c r="F49" s="163" t="str">
        <f>IFERROR(VLOOKUP(B49,'03114902'!B:L,11,0),"")</f>
        <v>AS</v>
      </c>
      <c r="G49" s="163">
        <f>IFERROR(VLOOKUP(D49,FIDELIZAÇÃO!C:E,3,0),"")</f>
        <v>273</v>
      </c>
      <c r="H49" s="9" t="str">
        <f>IFERROR(VLOOKUP(G49,FIDELIZAÇÃO!E:F,2,0),"")</f>
        <v>LEONIR DHEIN</v>
      </c>
      <c r="I49" s="163">
        <f>IFERROR(VLOOKUP(D49,FIDELIZAÇÃO!C:G,5,0),"")</f>
        <v>0</v>
      </c>
      <c r="J49" s="9" t="str">
        <f>IFERROR(VLOOKUP(I49,FIDELIZAÇÃO!G:H,2,0),"")</f>
        <v/>
      </c>
      <c r="K49" s="163">
        <f>IFERROR(VLOOKUP(B49,'03114902'!B:X,23,0),"")</f>
        <v>1</v>
      </c>
      <c r="L49" s="9" t="str">
        <f>IFERROR(VLOOKUP(B49,'03114902'!B:AM,38,0),"")</f>
        <v>MARECHAL CANDIDO RONDON (1)</v>
      </c>
      <c r="M49" s="9" t="str">
        <f>IFERROR(VLOOKUP(B49,'03114902'!B:AN,39,0),"")</f>
        <v>[MAR]: CENTRO (1)</v>
      </c>
      <c r="N49" s="177">
        <f>IFERROR(VLOOKUP(B49,'03114902'!B:V,21,0),"")</f>
        <v>364.68</v>
      </c>
      <c r="O49" s="178">
        <f>IFERROR(VLOOKUP(B49,'03114902'!B:W,22,0),"")</f>
        <v>1.226388888888889</v>
      </c>
      <c r="P49" s="163">
        <f>IFERROR(VLOOKUP(B49,'03114902'!B:Y,24,0),"")</f>
        <v>303.97000000000003</v>
      </c>
      <c r="Q49" s="180">
        <f>IFERROR(VLOOKUP(B49,'03114902'!B:Z,25,0) * 0.01,"")</f>
        <v>0.60310000000000008</v>
      </c>
      <c r="R49" s="163">
        <f>IFERROR(VLOOKUP(B49,'03114902'!B:AA,26,0),"")</f>
        <v>8693</v>
      </c>
      <c r="S49" s="181">
        <f>IFERROR(VLOOKUP(B49,'03114902'!B:AB,27,0) * 0.01,"")</f>
        <v>0.53620000000000001</v>
      </c>
    </row>
    <row r="50" spans="2:19" ht="15.75">
      <c r="B50" s="15" t="str">
        <f>IF(FIDELIZAÇÃO!C46 = "", "NA", FIDELIZAÇÃO!C46)</f>
        <v>PFO8I82</v>
      </c>
      <c r="C50" s="164" t="str">
        <f>IFERROR(VLOOKUP(B50,'03114902'!B:G,6,0),"")</f>
        <v/>
      </c>
      <c r="D50" s="163" t="str">
        <f>IFERROR(VLOOKUP(B50,'03114902'!B:O,14,0),"")</f>
        <v/>
      </c>
      <c r="E50" s="163" t="str">
        <f>IFERROR(VLOOKUP(B50,'03114902'!B:I,8,0),"")</f>
        <v/>
      </c>
      <c r="F50" s="163" t="str">
        <f>IFERROR(VLOOKUP(B50,'03114902'!B:L,11,0),"")</f>
        <v/>
      </c>
      <c r="G50" s="163" t="str">
        <f>IFERROR(VLOOKUP(D50,FIDELIZAÇÃO!C:E,3,0),"")</f>
        <v/>
      </c>
      <c r="H50" s="9" t="str">
        <f>IFERROR(VLOOKUP(G50,FIDELIZAÇÃO!E:F,2,0),"")</f>
        <v/>
      </c>
      <c r="I50" s="163" t="str">
        <f>IFERROR(VLOOKUP(D50,FIDELIZAÇÃO!C:G,5,0),"")</f>
        <v/>
      </c>
      <c r="J50" s="9" t="str">
        <f>IFERROR(VLOOKUP(I50,FIDELIZAÇÃO!G:H,2,0),"")</f>
        <v/>
      </c>
      <c r="K50" s="163" t="str">
        <f>IFERROR(VLOOKUP(B50,'03114902'!B:X,23,0),"")</f>
        <v/>
      </c>
      <c r="L50" s="9" t="str">
        <f>IFERROR(VLOOKUP(B50,'03114902'!B:AM,38,0),"")</f>
        <v/>
      </c>
      <c r="M50" s="9" t="str">
        <f>IFERROR(VLOOKUP(B50,'03114902'!B:AN,39,0),"")</f>
        <v/>
      </c>
      <c r="N50" s="177" t="str">
        <f>IFERROR(VLOOKUP(B50,'03114902'!B:V,21,0),"")</f>
        <v/>
      </c>
      <c r="O50" s="178" t="str">
        <f>IFERROR(VLOOKUP(B50,'03114902'!B:W,22,0),"")</f>
        <v/>
      </c>
      <c r="P50" s="163" t="str">
        <f>IFERROR(VLOOKUP(B50,'03114902'!B:Y,24,0),"")</f>
        <v/>
      </c>
      <c r="Q50" s="180" t="str">
        <f>IFERROR(VLOOKUP(B50,'03114902'!B:Z,25,0) * 0.01,"")</f>
        <v/>
      </c>
      <c r="R50" s="163" t="str">
        <f>IFERROR(VLOOKUP(B50,'03114902'!B:AA,26,0),"")</f>
        <v/>
      </c>
      <c r="S50" s="181" t="str">
        <f>IFERROR(VLOOKUP(B50,'03114902'!B:AB,27,0) * 0.01,"")</f>
        <v/>
      </c>
    </row>
    <row r="51" spans="2:19" ht="15.75">
      <c r="B51" s="15" t="str">
        <f>IF(FIDELIZAÇÃO!C47 = "", "NA", FIDELIZAÇÃO!C47)</f>
        <v>MIY5I81</v>
      </c>
      <c r="C51" s="164" t="str">
        <f>IFERROR(VLOOKUP(B51,'03114902'!B:G,6,0),"")</f>
        <v/>
      </c>
      <c r="D51" s="163" t="str">
        <f>IFERROR(VLOOKUP(B51,'03114902'!B:O,14,0),"")</f>
        <v/>
      </c>
      <c r="E51" s="163" t="str">
        <f>IFERROR(VLOOKUP(B51,'03114902'!B:I,8,0),"")</f>
        <v/>
      </c>
      <c r="F51" s="163" t="str">
        <f>IFERROR(VLOOKUP(B51,'03114902'!B:L,11,0),"")</f>
        <v/>
      </c>
      <c r="G51" s="163" t="str">
        <f>IFERROR(VLOOKUP(D51,FIDELIZAÇÃO!C:E,3,0),"")</f>
        <v/>
      </c>
      <c r="H51" s="9" t="str">
        <f>IFERROR(VLOOKUP(G51,FIDELIZAÇÃO!E:F,2,0),"")</f>
        <v/>
      </c>
      <c r="I51" s="163" t="str">
        <f>IFERROR(VLOOKUP(D51,FIDELIZAÇÃO!C:G,5,0),"")</f>
        <v/>
      </c>
      <c r="J51" s="9" t="str">
        <f>IFERROR(VLOOKUP(I51,FIDELIZAÇÃO!G:H,2,0),"")</f>
        <v/>
      </c>
      <c r="K51" s="163" t="str">
        <f>IFERROR(VLOOKUP(B51,'03114902'!B:X,23,0),"")</f>
        <v/>
      </c>
      <c r="L51" s="9" t="str">
        <f>IFERROR(VLOOKUP(B51,'03114902'!B:AM,38,0),"")</f>
        <v/>
      </c>
      <c r="M51" s="9" t="str">
        <f>IFERROR(VLOOKUP(B51,'03114902'!B:AN,39,0),"")</f>
        <v/>
      </c>
      <c r="N51" s="177" t="str">
        <f>IFERROR(VLOOKUP(B51,'03114902'!B:V,21,0),"")</f>
        <v/>
      </c>
      <c r="O51" s="178" t="str">
        <f>IFERROR(VLOOKUP(B51,'03114902'!B:W,22,0),"")</f>
        <v/>
      </c>
      <c r="P51" s="163" t="str">
        <f>IFERROR(VLOOKUP(B51,'03114902'!B:Y,24,0),"")</f>
        <v/>
      </c>
      <c r="Q51" s="180" t="str">
        <f>IFERROR(VLOOKUP(B51,'03114902'!B:Z,25,0) * 0.01,"")</f>
        <v/>
      </c>
      <c r="R51" s="163" t="str">
        <f>IFERROR(VLOOKUP(B51,'03114902'!B:AA,26,0),"")</f>
        <v/>
      </c>
      <c r="S51" s="181" t="str">
        <f>IFERROR(VLOOKUP(B51,'03114902'!B:AB,27,0) * 0.01,"")</f>
        <v/>
      </c>
    </row>
    <row r="52" spans="2:19" ht="15.75">
      <c r="B52" s="15" t="str">
        <f>IF(FIDELIZAÇÃO!C48 = "", "NA", FIDELIZAÇÃO!C48)</f>
        <v>IJU2A88</v>
      </c>
      <c r="C52" s="164" t="str">
        <f>IFERROR(VLOOKUP(B52,'03114902'!B:G,6,0),"")</f>
        <v/>
      </c>
      <c r="D52" s="163" t="str">
        <f>IFERROR(VLOOKUP(B52,'03114902'!B:O,14,0),"")</f>
        <v/>
      </c>
      <c r="E52" s="163" t="str">
        <f>IFERROR(VLOOKUP(B52,'03114902'!B:I,8,0),"")</f>
        <v/>
      </c>
      <c r="F52" s="163" t="str">
        <f>IFERROR(VLOOKUP(B52,'03114902'!B:L,11,0),"")</f>
        <v/>
      </c>
      <c r="G52" s="163" t="str">
        <f>IFERROR(VLOOKUP(D52,FIDELIZAÇÃO!C:E,3,0),"")</f>
        <v/>
      </c>
      <c r="H52" s="9" t="str">
        <f>IFERROR(VLOOKUP(G52,FIDELIZAÇÃO!E:F,2,0),"")</f>
        <v/>
      </c>
      <c r="I52" s="163" t="str">
        <f>IFERROR(VLOOKUP(D52,FIDELIZAÇÃO!C:G,5,0),"")</f>
        <v/>
      </c>
      <c r="J52" s="9" t="str">
        <f>IFERROR(VLOOKUP(I52,FIDELIZAÇÃO!G:H,2,0),"")</f>
        <v/>
      </c>
      <c r="K52" s="163" t="str">
        <f>IFERROR(VLOOKUP(B52,'03114902'!B:X,23,0),"")</f>
        <v/>
      </c>
      <c r="L52" s="9" t="str">
        <f>IFERROR(VLOOKUP(B52,'03114902'!B:AM,38,0),"")</f>
        <v/>
      </c>
      <c r="M52" s="9" t="str">
        <f>IFERROR(VLOOKUP(B52,'03114902'!B:AN,39,0),"")</f>
        <v/>
      </c>
      <c r="N52" s="177" t="str">
        <f>IFERROR(VLOOKUP(B52,'03114902'!B:V,21,0),"")</f>
        <v/>
      </c>
      <c r="O52" s="178" t="str">
        <f>IFERROR(VLOOKUP(B52,'03114902'!B:W,22,0),"")</f>
        <v/>
      </c>
      <c r="P52" s="163" t="str">
        <f>IFERROR(VLOOKUP(B52,'03114902'!B:Y,24,0),"")</f>
        <v/>
      </c>
      <c r="Q52" s="180" t="str">
        <f>IFERROR(VLOOKUP(B52,'03114902'!B:Z,25,0) * 0.01,"")</f>
        <v/>
      </c>
      <c r="R52" s="163" t="str">
        <f>IFERROR(VLOOKUP(B52,'03114902'!B:AA,26,0),"")</f>
        <v/>
      </c>
      <c r="S52" s="181" t="str">
        <f>IFERROR(VLOOKUP(B52,'03114902'!B:AB,27,0) * 0.01,"")</f>
        <v/>
      </c>
    </row>
    <row r="53" spans="2:19" ht="15.75">
      <c r="B53" s="15" t="str">
        <f>IF(FIDELIZAÇÃO!C49 = "", "NA", FIDELIZAÇÃO!C49)</f>
        <v>DVT4G32</v>
      </c>
      <c r="C53" s="164">
        <f>IFERROR(VLOOKUP(B53,'03114902'!B:G,6,0),"")</f>
        <v>46297</v>
      </c>
      <c r="D53" s="163" t="str">
        <f>IFERROR(VLOOKUP(B53,'03114902'!B:O,14,0),"")</f>
        <v>DVT4G32</v>
      </c>
      <c r="E53" s="163">
        <f>IFERROR(VLOOKUP(B53,'03114902'!B:I,8,0),"")</f>
        <v>179800</v>
      </c>
      <c r="F53" s="163" t="str">
        <f>IFERROR(VLOOKUP(B53,'03114902'!B:L,11,0),"")</f>
        <v>AS</v>
      </c>
      <c r="G53" s="163">
        <f>IFERROR(VLOOKUP(D53,FIDELIZAÇÃO!C:E,3,0),"")</f>
        <v>276</v>
      </c>
      <c r="H53" s="9" t="str">
        <f>IFERROR(VLOOKUP(G53,FIDELIZAÇÃO!E:F,2,0),"")</f>
        <v>WELVIS SILVA CARNEIRO</v>
      </c>
      <c r="I53" s="163">
        <f>IFERROR(VLOOKUP(D53,FIDELIZAÇÃO!C:G,5,0),"")</f>
        <v>0</v>
      </c>
      <c r="J53" s="9" t="str">
        <f>IFERROR(VLOOKUP(I53,FIDELIZAÇÃO!G:H,2,0),"")</f>
        <v/>
      </c>
      <c r="K53" s="163">
        <f>IFERROR(VLOOKUP(B53,'03114902'!B:X,23,0),"")</f>
        <v>1</v>
      </c>
      <c r="L53" s="9" t="str">
        <f>IFERROR(VLOOKUP(B53,'03114902'!B:AM,38,0),"")</f>
        <v>GUAIRA (1)</v>
      </c>
      <c r="M53" s="9" t="str">
        <f>IFERROR(VLOOKUP(B53,'03114902'!B:AN,39,0),"")</f>
        <v>[GUA]: CENTRO (1)</v>
      </c>
      <c r="N53" s="177">
        <f>IFERROR(VLOOKUP(B53,'03114902'!B:V,21,0),"")</f>
        <v>423.4</v>
      </c>
      <c r="O53" s="178">
        <f>IFERROR(VLOOKUP(B53,'03114902'!B:W,22,0),"")</f>
        <v>1.2118055555555556</v>
      </c>
      <c r="P53" s="163">
        <f>IFERROR(VLOOKUP(B53,'03114902'!B:Y,24,0),"")</f>
        <v>185.44</v>
      </c>
      <c r="Q53" s="180">
        <f>IFERROR(VLOOKUP(B53,'03114902'!B:Z,25,0) * 0.01,"")</f>
        <v>0.4415</v>
      </c>
      <c r="R53" s="163">
        <f>IFERROR(VLOOKUP(B53,'03114902'!B:AA,26,0),"")</f>
        <v>5139</v>
      </c>
      <c r="S53" s="181">
        <f>IFERROR(VLOOKUP(B53,'03114902'!B:AB,27,0) * 0.01,"")</f>
        <v>0.63529999999999998</v>
      </c>
    </row>
    <row r="54" spans="2:19" ht="15.75">
      <c r="B54" s="15" t="str">
        <f>IF(FIDELIZAÇÃO!C50 = "", "NA", FIDELIZAÇÃO!C50)</f>
        <v>MLZ0F64</v>
      </c>
      <c r="C54" s="164" t="str">
        <f>IFERROR(VLOOKUP(B54,'03114902'!B:G,6,0),"")</f>
        <v/>
      </c>
      <c r="D54" s="163" t="str">
        <f>IFERROR(VLOOKUP(B54,'03114902'!B:O,14,0),"")</f>
        <v/>
      </c>
      <c r="E54" s="163" t="str">
        <f>IFERROR(VLOOKUP(B54,'03114902'!B:I,8,0),"")</f>
        <v/>
      </c>
      <c r="F54" s="163" t="str">
        <f>IFERROR(VLOOKUP(B54,'03114902'!B:L,11,0),"")</f>
        <v/>
      </c>
      <c r="G54" s="163" t="str">
        <f>IFERROR(VLOOKUP(D54,FIDELIZAÇÃO!C:E,3,0),"")</f>
        <v/>
      </c>
      <c r="H54" s="9" t="str">
        <f>IFERROR(VLOOKUP(G54,FIDELIZAÇÃO!E:F,2,0),"")</f>
        <v/>
      </c>
      <c r="I54" s="163" t="str">
        <f>IFERROR(VLOOKUP(D54,FIDELIZAÇÃO!C:G,5,0),"")</f>
        <v/>
      </c>
      <c r="J54" s="9" t="str">
        <f>IFERROR(VLOOKUP(I54,FIDELIZAÇÃO!G:H,2,0),"")</f>
        <v/>
      </c>
      <c r="K54" s="163" t="str">
        <f>IFERROR(VLOOKUP(B54,'03114902'!B:X,23,0),"")</f>
        <v/>
      </c>
      <c r="L54" s="9" t="str">
        <f>IFERROR(VLOOKUP(B54,'03114902'!B:AM,38,0),"")</f>
        <v/>
      </c>
      <c r="M54" s="9" t="str">
        <f>IFERROR(VLOOKUP(B54,'03114902'!B:AN,39,0),"")</f>
        <v/>
      </c>
      <c r="N54" s="177" t="str">
        <f>IFERROR(VLOOKUP(B54,'03114902'!B:V,21,0),"")</f>
        <v/>
      </c>
      <c r="O54" s="178" t="str">
        <f>IFERROR(VLOOKUP(B54,'03114902'!B:W,22,0),"")</f>
        <v/>
      </c>
      <c r="P54" s="163" t="str">
        <f>IFERROR(VLOOKUP(B54,'03114902'!B:Y,24,0),"")</f>
        <v/>
      </c>
      <c r="Q54" s="180" t="str">
        <f>IFERROR(VLOOKUP(B54,'03114902'!B:Z,25,0) * 0.01,"")</f>
        <v/>
      </c>
      <c r="R54" s="163" t="str">
        <f>IFERROR(VLOOKUP(B54,'03114902'!B:AA,26,0),"")</f>
        <v/>
      </c>
      <c r="S54" s="181" t="str">
        <f>IFERROR(VLOOKUP(B54,'03114902'!B:AB,27,0) * 0.01,"")</f>
        <v/>
      </c>
    </row>
    <row r="55" spans="2:19" ht="15.75">
      <c r="B55" s="15" t="str">
        <f>IF(FIDELIZAÇÃO!C51 = "", "NA", FIDELIZAÇÃO!C51)</f>
        <v>MDB1A18</v>
      </c>
      <c r="C55" s="164">
        <f>IFERROR(VLOOKUP(B55,'03114902'!B:G,6,0),"")</f>
        <v>46297</v>
      </c>
      <c r="D55" s="163" t="str">
        <f>IFERROR(VLOOKUP(B55,'03114902'!B:O,14,0),"")</f>
        <v>MDB1A18</v>
      </c>
      <c r="E55" s="163">
        <f>IFERROR(VLOOKUP(B55,'03114902'!B:I,8,0),"")</f>
        <v>179797</v>
      </c>
      <c r="F55" s="163" t="str">
        <f>IFERROR(VLOOKUP(B55,'03114902'!B:L,11,0),"")</f>
        <v>AS</v>
      </c>
      <c r="G55" s="157">
        <f>IFERROR(VLOOKUP(D55,FIDELIZAÇÃO!C:E,3,0),"")</f>
        <v>305</v>
      </c>
      <c r="H55" s="179" t="str">
        <f>IFERROR(VLOOKUP(G55,FIDELIZAÇÃO!E:F,2,0),"")</f>
        <v>JOAO SOUZA DOS REIS</v>
      </c>
      <c r="I55" s="163">
        <f>IFERROR(VLOOKUP(D55,FIDELIZAÇÃO!C:G,5,0),"")</f>
        <v>0</v>
      </c>
      <c r="J55" s="9" t="str">
        <f>IFERROR(VLOOKUP(I55,FIDELIZAÇÃO!G:H,2,0),"")</f>
        <v/>
      </c>
      <c r="K55" s="163">
        <f>IFERROR(VLOOKUP(B55,'03114902'!B:X,23,0),"")</f>
        <v>1</v>
      </c>
      <c r="L55" s="9" t="str">
        <f>IFERROR(VLOOKUP(B55,'03114902'!B:AM,38,0),"")</f>
        <v>MARECHAL CANDIDO RONDON (1)</v>
      </c>
      <c r="M55" s="9" t="str">
        <f>IFERROR(VLOOKUP(B55,'03114902'!B:AN,39,0),"")</f>
        <v>[MAR]: CENTRO (1)</v>
      </c>
      <c r="N55" s="177">
        <f>IFERROR(VLOOKUP(B55,'03114902'!B:V,21,0),"")</f>
        <v>306.56</v>
      </c>
      <c r="O55" s="178">
        <f>IFERROR(VLOOKUP(B55,'03114902'!B:W,22,0),"")</f>
        <v>0.34861111111111109</v>
      </c>
      <c r="P55" s="163">
        <f>IFERROR(VLOOKUP(B55,'03114902'!B:Y,24,0),"")</f>
        <v>105.71</v>
      </c>
      <c r="Q55" s="180">
        <f>IFERROR(VLOOKUP(B55,'03114902'!B:Z,25,0) * 0.01,"")</f>
        <v>0.62919999999999998</v>
      </c>
      <c r="R55" s="163">
        <f>IFERROR(VLOOKUP(B55,'03114902'!B:AA,26,0),"")</f>
        <v>3106</v>
      </c>
      <c r="S55" s="181">
        <f>IFERROR(VLOOKUP(B55,'03114902'!B:AB,27,0) * 0.01,"")</f>
        <v>0.72230000000000005</v>
      </c>
    </row>
    <row r="56" spans="2:19" ht="15.75">
      <c r="B56" s="15" t="str">
        <f>IF(FIDELIZAÇÃO!C52 = "", "NA", FIDELIZAÇÃO!C52)</f>
        <v>KAG0C07</v>
      </c>
      <c r="C56" s="164">
        <f>IFERROR(VLOOKUP(B56,'03114902'!B:G,6,0),"")</f>
        <v>46297</v>
      </c>
      <c r="D56" s="163" t="str">
        <f>IFERROR(VLOOKUP(B56,'03114902'!B:O,14,0),"")</f>
        <v>KAG0C07</v>
      </c>
      <c r="E56" s="163">
        <f>IFERROR(VLOOKUP(B56,'03114902'!B:I,8,0),"")</f>
        <v>179795</v>
      </c>
      <c r="F56" s="163" t="str">
        <f>IFERROR(VLOOKUP(B56,'03114902'!B:L,11,0),"")</f>
        <v>AS</v>
      </c>
      <c r="G56" s="157">
        <f>IFERROR(VLOOKUP(D56,FIDELIZAÇÃO!C:E,3,0),"")</f>
        <v>136</v>
      </c>
      <c r="H56" s="179" t="str">
        <f>IFERROR(VLOOKUP(G56,FIDELIZAÇÃO!E:F,2,0),"")</f>
        <v>GABRIEL BRITO</v>
      </c>
      <c r="I56" s="163">
        <f>IFERROR(VLOOKUP(D56,FIDELIZAÇÃO!C:G,5,0),"")</f>
        <v>0</v>
      </c>
      <c r="J56" s="9" t="str">
        <f>IFERROR(VLOOKUP(I56,FIDELIZAÇÃO!G:H,2,0),"")</f>
        <v/>
      </c>
      <c r="K56" s="163">
        <f>IFERROR(VLOOKUP(B56,'03114902'!B:X,23,0),"")</f>
        <v>1</v>
      </c>
      <c r="L56" s="9" t="str">
        <f>IFERROR(VLOOKUP(B56,'03114902'!B:AM,38,0),"")</f>
        <v>FORMOSA DO OESTE (1)</v>
      </c>
      <c r="M56" s="9" t="str">
        <f>IFERROR(VLOOKUP(B56,'03114902'!B:AN,39,0),"")</f>
        <v>[FOR]: CENTRO (1)</v>
      </c>
      <c r="N56" s="177">
        <f>IFERROR(VLOOKUP(B56,'03114902'!B:V,21,0),"")</f>
        <v>469.3</v>
      </c>
      <c r="O56" s="178">
        <f>IFERROR(VLOOKUP(B56,'03114902'!B:W,22,0),"")</f>
        <v>1.0201388888888889</v>
      </c>
      <c r="P56" s="163">
        <f>IFERROR(VLOOKUP(B56,'03114902'!B:Y,24,0),"")</f>
        <v>103.18</v>
      </c>
      <c r="Q56" s="180">
        <f>IFERROR(VLOOKUP(B56,'03114902'!B:Z,25,0) * 0.01,"")</f>
        <v>0.81879999999999997</v>
      </c>
      <c r="R56" s="163">
        <f>IFERROR(VLOOKUP(B56,'03114902'!B:AA,26,0),"")</f>
        <v>2987</v>
      </c>
      <c r="S56" s="181">
        <f>IFERROR(VLOOKUP(B56,'03114902'!B:AB,27,0) * 0.01,"")</f>
        <v>0.93359999999999999</v>
      </c>
    </row>
    <row r="57" spans="2:19" ht="15.75">
      <c r="B57" s="15" t="str">
        <f>IF(FIDELIZAÇÃO!C53 = "", "NA", FIDELIZAÇÃO!C53)</f>
        <v>IQU6H77</v>
      </c>
      <c r="C57" s="164">
        <f>IFERROR(VLOOKUP(B57,'03114902'!B:G,6,0),"")</f>
        <v>46297</v>
      </c>
      <c r="D57" s="163" t="str">
        <f>IFERROR(VLOOKUP(B57,'03114902'!B:O,14,0),"")</f>
        <v>IQU6H77</v>
      </c>
      <c r="E57" s="163">
        <f>IFERROR(VLOOKUP(B57,'03114902'!B:I,8,0),"")</f>
        <v>179796</v>
      </c>
      <c r="F57" s="163" t="str">
        <f>IFERROR(VLOOKUP(B57,'03114902'!B:L,11,0),"")</f>
        <v>AS</v>
      </c>
      <c r="G57" s="157">
        <f>IFERROR(VLOOKUP(D57,FIDELIZAÇÃO!C:E,3,0),"")</f>
        <v>216</v>
      </c>
      <c r="H57" s="179" t="str">
        <f>IFERROR(VLOOKUP(G57,FIDELIZAÇÃO!E:F,2,0),"")</f>
        <v>EDILEUZA CORREIA</v>
      </c>
      <c r="I57" s="163">
        <f>IFERROR(VLOOKUP(D57,FIDELIZAÇÃO!C:G,5,0),"")</f>
        <v>0</v>
      </c>
      <c r="J57" s="9" t="str">
        <f>IFERROR(VLOOKUP(I57,FIDELIZAÇÃO!G:H,2,0),"")</f>
        <v/>
      </c>
      <c r="K57" s="163">
        <f>IFERROR(VLOOKUP(B57,'03114902'!B:X,23,0),"")</f>
        <v>1</v>
      </c>
      <c r="L57" s="9" t="str">
        <f>IFERROR(VLOOKUP(B57,'03114902'!B:AM,38,0),"")</f>
        <v>GOIOERE (1)</v>
      </c>
      <c r="M57" s="9" t="str">
        <f>IFERROR(VLOOKUP(B57,'03114902'!B:AN,39,0),"")</f>
        <v>[GOI]: CENTRO (1)</v>
      </c>
      <c r="N57" s="177">
        <f>IFERROR(VLOOKUP(B57,'03114902'!B:V,21,0),"")</f>
        <v>469.7</v>
      </c>
      <c r="O57" s="178">
        <f>IFERROR(VLOOKUP(B57,'03114902'!B:W,22,0),"")</f>
        <v>1.0243055555555556</v>
      </c>
      <c r="P57" s="163">
        <f>IFERROR(VLOOKUP(B57,'03114902'!B:Y,24,0),"")</f>
        <v>92.95</v>
      </c>
      <c r="Q57" s="180">
        <f>IFERROR(VLOOKUP(B57,'03114902'!B:Z,25,0) * 0.01,"")</f>
        <v>0.73760000000000003</v>
      </c>
      <c r="R57" s="163">
        <f>IFERROR(VLOOKUP(B57,'03114902'!B:AA,26,0),"")</f>
        <v>2725</v>
      </c>
      <c r="S57" s="181">
        <f>IFERROR(VLOOKUP(B57,'03114902'!B:AB,27,0) * 0.01,"")</f>
        <v>0.85440000000000005</v>
      </c>
    </row>
    <row r="58" spans="2:19" ht="15.75">
      <c r="B58" s="15" t="str">
        <f>IF(FIDELIZAÇÃO!C54 = "", "NA", FIDELIZAÇÃO!C54)</f>
        <v>NXK5H74</v>
      </c>
      <c r="C58" s="164">
        <f>IFERROR(VLOOKUP(B58,'03114902'!B:G,6,0),"")</f>
        <v>46297</v>
      </c>
      <c r="D58" s="163" t="str">
        <f>IFERROR(VLOOKUP(B58,'03114902'!B:O,14,0),"")</f>
        <v>NXK5H74</v>
      </c>
      <c r="E58" s="163">
        <f>IFERROR(VLOOKUP(B58,'03114902'!B:I,8,0),"")</f>
        <v>179798</v>
      </c>
      <c r="F58" s="163" t="str">
        <f>IFERROR(VLOOKUP(B58,'03114902'!B:L,11,0),"")</f>
        <v>AS</v>
      </c>
      <c r="G58" s="157">
        <f>IFERROR(VLOOKUP(D58,FIDELIZAÇÃO!C:E,3,0),"")</f>
        <v>234</v>
      </c>
      <c r="H58" s="179" t="str">
        <f>IFERROR(VLOOKUP(G58,FIDELIZAÇÃO!E:F,2,0),"")</f>
        <v>FLAVIO</v>
      </c>
      <c r="I58" s="163">
        <f>IFERROR(VLOOKUP(D58,FIDELIZAÇÃO!C:G,5,0),"")</f>
        <v>0</v>
      </c>
      <c r="J58" s="9" t="str">
        <f>IFERROR(VLOOKUP(I58,FIDELIZAÇÃO!G:H,2,0),"")</f>
        <v/>
      </c>
      <c r="K58" s="163">
        <f>IFERROR(VLOOKUP(B58,'03114902'!B:X,23,0),"")</f>
        <v>1</v>
      </c>
      <c r="L58" s="9" t="str">
        <f>IFERROR(VLOOKUP(B58,'03114902'!B:AM,38,0),"")</f>
        <v>JESUITAS (1)</v>
      </c>
      <c r="M58" s="9" t="str">
        <f>IFERROR(VLOOKUP(B58,'03114902'!B:AN,39,0),"")</f>
        <v>[JES]: CENTRO (1)</v>
      </c>
      <c r="N58" s="177">
        <f>IFERROR(VLOOKUP(B58,'03114902'!B:V,21,0),"")</f>
        <v>442.75</v>
      </c>
      <c r="O58" s="178">
        <f>IFERROR(VLOOKUP(B58,'03114902'!B:W,22,0),"")</f>
        <v>1.0006944444444446</v>
      </c>
      <c r="P58" s="163">
        <f>IFERROR(VLOOKUP(B58,'03114902'!B:Y,24,0),"")</f>
        <v>87.63</v>
      </c>
      <c r="Q58" s="180">
        <f>IFERROR(VLOOKUP(B58,'03114902'!B:Z,25,0) * 0.01,"")</f>
        <v>0.69540000000000013</v>
      </c>
      <c r="R58" s="163">
        <f>IFERROR(VLOOKUP(B58,'03114902'!B:AA,26,0),"")</f>
        <v>2591</v>
      </c>
      <c r="S58" s="181">
        <f>IFERROR(VLOOKUP(B58,'03114902'!B:AB,27,0) * 0.01,"")</f>
        <v>0.9355</v>
      </c>
    </row>
    <row r="59" spans="2:19" ht="15.75">
      <c r="B59" s="15" t="str">
        <f>IF(FIDELIZAÇÃO!C55 = "", "NA", FIDELIZAÇÃO!C55)</f>
        <v>NA</v>
      </c>
      <c r="C59" s="164" t="str">
        <f>IFERROR(VLOOKUP(B59,'03114902'!B:G,6,0),"")</f>
        <v/>
      </c>
      <c r="D59" s="163" t="str">
        <f>IFERROR(VLOOKUP(B59,'03114902'!B:O,14,0),"")</f>
        <v/>
      </c>
      <c r="E59" s="163" t="str">
        <f>IFERROR(VLOOKUP(B59,'03114902'!B:I,8,0),"")</f>
        <v/>
      </c>
      <c r="F59" s="163" t="str">
        <f>IFERROR(VLOOKUP(B59,'03114902'!B:L,11,0),"")</f>
        <v/>
      </c>
      <c r="G59" s="157" t="str">
        <f>IFERROR(VLOOKUP(D59,FIDELIZAÇÃO!C:E,3,0),"")</f>
        <v/>
      </c>
      <c r="H59" s="179" t="str">
        <f>IFERROR(VLOOKUP(G59,FIDELIZAÇÃO!E:F,2,0),"")</f>
        <v/>
      </c>
      <c r="I59" s="163" t="str">
        <f>IFERROR(VLOOKUP(D59,FIDELIZAÇÃO!C:G,5,0),"")</f>
        <v/>
      </c>
      <c r="J59" s="9" t="str">
        <f>IFERROR(VLOOKUP(I59,FIDELIZAÇÃO!G:H,2,0),"")</f>
        <v/>
      </c>
      <c r="K59" s="163" t="str">
        <f>IFERROR(VLOOKUP(B59,'03114902'!B:X,23,0),"")</f>
        <v/>
      </c>
      <c r="L59" s="9" t="str">
        <f>IFERROR(VLOOKUP(B59,'03114902'!B:AM,38,0),"")</f>
        <v/>
      </c>
      <c r="M59" s="9" t="str">
        <f>IFERROR(VLOOKUP(B59,'03114902'!B:AN,39,0),"")</f>
        <v/>
      </c>
      <c r="N59" s="177" t="str">
        <f>IFERROR(VLOOKUP(B59,'03114902'!B:V,21,0),"")</f>
        <v/>
      </c>
      <c r="O59" s="178" t="str">
        <f>IFERROR(VLOOKUP(B59,'03114902'!B:W,22,0),"")</f>
        <v/>
      </c>
      <c r="P59" s="163" t="str">
        <f>IFERROR(VLOOKUP(B59,'03114902'!B:Y,24,0),"")</f>
        <v/>
      </c>
      <c r="Q59" s="180" t="str">
        <f>IFERROR(VLOOKUP(B59,'03114902'!B:Z,25,0) * 0.01,"")</f>
        <v/>
      </c>
      <c r="R59" s="163" t="str">
        <f>IFERROR(VLOOKUP(B59,'03114902'!B:AA,26,0),"")</f>
        <v/>
      </c>
      <c r="S59" s="181" t="str">
        <f>IFERROR(VLOOKUP(B59,'03114902'!B:AB,27,0) * 0.01,"")</f>
        <v/>
      </c>
    </row>
    <row r="60" spans="2:19" ht="15.75">
      <c r="B60" s="15" t="str">
        <f>IF(FIDELIZAÇÃO!C56 = "", "NA", FIDELIZAÇÃO!C56)</f>
        <v>NA</v>
      </c>
      <c r="C60" s="164" t="str">
        <f>IFERROR(VLOOKUP(B60,'03114902'!B:G,6,0),"")</f>
        <v/>
      </c>
      <c r="D60" s="163" t="str">
        <f>IFERROR(VLOOKUP(B60,'03114902'!B:O,14,0),"")</f>
        <v/>
      </c>
      <c r="E60" s="163" t="str">
        <f>IFERROR(VLOOKUP(B60,'03114902'!B:I,8,0),"")</f>
        <v/>
      </c>
      <c r="F60" s="163" t="str">
        <f>IFERROR(VLOOKUP(B60,'03114902'!B:L,11,0),"")</f>
        <v/>
      </c>
      <c r="G60" s="157" t="str">
        <f>IFERROR(VLOOKUP(D60,FIDELIZAÇÃO!C:E,3,0),"")</f>
        <v/>
      </c>
      <c r="H60" s="179" t="str">
        <f>IFERROR(VLOOKUP(G60,FIDELIZAÇÃO!E:F,2,0),"")</f>
        <v/>
      </c>
      <c r="I60" s="163" t="str">
        <f>IFERROR(VLOOKUP(D60,FIDELIZAÇÃO!C:G,5,0),"")</f>
        <v/>
      </c>
      <c r="J60" s="9" t="str">
        <f>IFERROR(VLOOKUP(I60,FIDELIZAÇÃO!G:H,2,0),"")</f>
        <v/>
      </c>
      <c r="K60" s="163" t="str">
        <f>IFERROR(VLOOKUP(B60,'03114902'!B:X,23,0),"")</f>
        <v/>
      </c>
      <c r="L60" s="9" t="str">
        <f>IFERROR(VLOOKUP(B60,'03114902'!B:AM,38,0),"")</f>
        <v/>
      </c>
      <c r="M60" s="9" t="str">
        <f>IFERROR(VLOOKUP(B60,'03114902'!B:AN,39,0),"")</f>
        <v/>
      </c>
      <c r="N60" s="177" t="str">
        <f>IFERROR(VLOOKUP(B60,'03114902'!B:V,21,0),"")</f>
        <v/>
      </c>
      <c r="O60" s="178" t="str">
        <f>IFERROR(VLOOKUP(B60,'03114902'!B:W,22,0),"")</f>
        <v/>
      </c>
      <c r="P60" s="163" t="str">
        <f>IFERROR(VLOOKUP(B60,'03114902'!B:Y,24,0),"")</f>
        <v/>
      </c>
      <c r="Q60" s="180" t="str">
        <f>IFERROR(VLOOKUP(B60,'03114902'!B:Z,25,0) * 0.01,"")</f>
        <v/>
      </c>
      <c r="R60" s="163" t="str">
        <f>IFERROR(VLOOKUP(B60,'03114902'!B:AA,26,0),"")</f>
        <v/>
      </c>
      <c r="S60" s="181" t="str">
        <f>IFERROR(VLOOKUP(B60,'03114902'!B:AB,27,0) * 0.01,"")</f>
        <v/>
      </c>
    </row>
    <row r="61" spans="2:19" ht="15.75">
      <c r="B61" s="15" t="str">
        <f>IF(FIDELIZAÇÃO!C57 = "", "NA", FIDELIZAÇÃO!C57)</f>
        <v>NA</v>
      </c>
      <c r="C61" s="164" t="str">
        <f>IFERROR(VLOOKUP(B61,'03114902'!B:G,6,0),"")</f>
        <v/>
      </c>
      <c r="D61" s="163" t="str">
        <f>IFERROR(VLOOKUP(B61,'03114902'!B:O,14,0),"")</f>
        <v/>
      </c>
      <c r="E61" s="163" t="str">
        <f>IFERROR(VLOOKUP(B61,'03114902'!B:I,8,0),"")</f>
        <v/>
      </c>
      <c r="F61" s="163" t="str">
        <f>IFERROR(VLOOKUP(B61,'03114902'!B:L,11,0),"")</f>
        <v/>
      </c>
      <c r="G61" s="157" t="str">
        <f>IFERROR(VLOOKUP(D61,FIDELIZAÇÃO!C:E,3,0),"")</f>
        <v/>
      </c>
      <c r="H61" s="179" t="str">
        <f>IFERROR(VLOOKUP(G61,FIDELIZAÇÃO!E:F,2,0),"")</f>
        <v/>
      </c>
      <c r="I61" s="163" t="str">
        <f>IFERROR(VLOOKUP(D61,FIDELIZAÇÃO!C:G,5,0),"")</f>
        <v/>
      </c>
      <c r="J61" s="9" t="str">
        <f>IFERROR(VLOOKUP(I61,FIDELIZAÇÃO!G:H,2,0),"")</f>
        <v/>
      </c>
      <c r="K61" s="163" t="str">
        <f>IFERROR(VLOOKUP(B61,'03114902'!B:X,23,0),"")</f>
        <v/>
      </c>
      <c r="L61" s="9" t="str">
        <f>IFERROR(VLOOKUP(B61,'03114902'!B:AM,38,0),"")</f>
        <v/>
      </c>
      <c r="M61" s="9" t="str">
        <f>IFERROR(VLOOKUP(B61,'03114902'!B:AN,39,0),"")</f>
        <v/>
      </c>
      <c r="N61" s="177" t="str">
        <f>IFERROR(VLOOKUP(B61,'03114902'!B:V,21,0),"")</f>
        <v/>
      </c>
      <c r="O61" s="178" t="str">
        <f>IFERROR(VLOOKUP(B61,'03114902'!B:W,22,0),"")</f>
        <v/>
      </c>
      <c r="P61" s="163" t="str">
        <f>IFERROR(VLOOKUP(B61,'03114902'!B:Y,24,0),"")</f>
        <v/>
      </c>
      <c r="Q61" s="180" t="str">
        <f>IFERROR(VLOOKUP(B61,'03114902'!B:Z,25,0) * 0.01,"")</f>
        <v/>
      </c>
      <c r="R61" s="163" t="str">
        <f>IFERROR(VLOOKUP(B61,'03114902'!B:AA,26,0),"")</f>
        <v/>
      </c>
      <c r="S61" s="181" t="str">
        <f>IFERROR(VLOOKUP(B61,'03114902'!B:AB,27,0) * 0.01,"")</f>
        <v/>
      </c>
    </row>
    <row r="62" spans="2:19" ht="15.75">
      <c r="B62" s="15" t="str">
        <f>IF(FIDELIZAÇÃO!C58 = "", "NA", FIDELIZAÇÃO!C58)</f>
        <v>ILS6J99</v>
      </c>
      <c r="C62" s="164" t="str">
        <f>IFERROR(VLOOKUP(B62,'03114902'!B:G,6,0),"")</f>
        <v/>
      </c>
      <c r="D62" s="163" t="str">
        <f>IFERROR(VLOOKUP(B62,'03114902'!B:O,14,0),"")</f>
        <v/>
      </c>
      <c r="E62" s="163" t="str">
        <f>IFERROR(VLOOKUP(B62,'03114902'!B:I,8,0),"")</f>
        <v/>
      </c>
      <c r="F62" s="163" t="str">
        <f>IFERROR(VLOOKUP(B62,'03114902'!B:L,11,0),"")</f>
        <v/>
      </c>
      <c r="G62" s="163" t="str">
        <f>IFERROR(VLOOKUP(D62,FIDELIZAÇÃO!C:E,3,0),"")</f>
        <v/>
      </c>
      <c r="H62" s="9" t="str">
        <f>IFERROR(VLOOKUP(G62,FIDELIZAÇÃO!E:F,2,0),"")</f>
        <v/>
      </c>
      <c r="I62" s="163" t="str">
        <f>IFERROR(VLOOKUP(D62,FIDELIZAÇÃO!C:G,5,0),"")</f>
        <v/>
      </c>
      <c r="J62" s="9" t="str">
        <f>IFERROR(VLOOKUP(I62,FIDELIZAÇÃO!G:H,2,0),"")</f>
        <v/>
      </c>
      <c r="K62" s="163" t="str">
        <f>IFERROR(VLOOKUP(B62,'03114902'!B:X,23,0),"")</f>
        <v/>
      </c>
      <c r="L62" s="9" t="str">
        <f>IFERROR(VLOOKUP(B62,'03114902'!B:AM,38,0),"")</f>
        <v/>
      </c>
      <c r="M62" s="9" t="str">
        <f>IFERROR(VLOOKUP(B62,'03114902'!B:AN,39,0),"")</f>
        <v/>
      </c>
      <c r="N62" s="177" t="str">
        <f>IFERROR(VLOOKUP(B62,'03114902'!B:V,21,0),"")</f>
        <v/>
      </c>
      <c r="O62" s="178" t="str">
        <f>IFERROR(VLOOKUP(B62,'03114902'!B:W,22,0),"")</f>
        <v/>
      </c>
      <c r="P62" s="163" t="str">
        <f>IFERROR(VLOOKUP(B62,'03114902'!B:Y,24,0),"")</f>
        <v/>
      </c>
      <c r="Q62" s="180" t="str">
        <f>IFERROR(VLOOKUP(B62,'03114902'!B:Z,25,0) * 0.01,"")</f>
        <v/>
      </c>
      <c r="R62" s="163" t="str">
        <f>IFERROR(VLOOKUP(B62,'03114902'!B:AA,26,0),"")</f>
        <v/>
      </c>
      <c r="S62" s="181" t="str">
        <f>IFERROR(VLOOKUP(B62,'03114902'!B:AB,27,0) * 0.01,"")</f>
        <v/>
      </c>
    </row>
    <row r="63" spans="2:19" ht="15.75">
      <c r="B63" s="15" t="str">
        <f>IF(FIDELIZAÇÃO!C59 = "", "NA", FIDELIZAÇÃO!C59)</f>
        <v>DLL4A97</v>
      </c>
      <c r="C63" s="164" t="str">
        <f>IFERROR(VLOOKUP(B63,'03114902'!B:G,6,0),"")</f>
        <v/>
      </c>
      <c r="D63" s="163" t="str">
        <f>IFERROR(VLOOKUP(B63,'03114902'!B:O,14,0),"")</f>
        <v/>
      </c>
      <c r="E63" s="163" t="str">
        <f>IFERROR(VLOOKUP(B63,'03114902'!B:I,8,0),"")</f>
        <v/>
      </c>
      <c r="F63" s="163" t="str">
        <f>IFERROR(VLOOKUP(B63,'03114902'!B:L,11,0),"")</f>
        <v/>
      </c>
      <c r="G63" s="163" t="str">
        <f>IFERROR(VLOOKUP(D63,FIDELIZAÇÃO!C:E,3,0),"")</f>
        <v/>
      </c>
      <c r="H63" s="9" t="str">
        <f>IFERROR(VLOOKUP(G63,FIDELIZAÇÃO!E:F,2,0),"")</f>
        <v/>
      </c>
      <c r="I63" s="163" t="str">
        <f>IFERROR(VLOOKUP(D63,FIDELIZAÇÃO!C:G,5,0),"")</f>
        <v/>
      </c>
      <c r="J63" s="9" t="str">
        <f>IFERROR(VLOOKUP(I63,FIDELIZAÇÃO!G:H,2,0),"")</f>
        <v/>
      </c>
      <c r="K63" s="163" t="str">
        <f>IFERROR(VLOOKUP(B63,'03114902'!B:X,23,0),"")</f>
        <v/>
      </c>
      <c r="L63" s="9" t="str">
        <f>IFERROR(VLOOKUP(B63,'03114902'!B:AM,38,0),"")</f>
        <v/>
      </c>
      <c r="M63" s="9" t="str">
        <f>IFERROR(VLOOKUP(B63,'03114902'!B:AN,39,0),"")</f>
        <v/>
      </c>
      <c r="N63" s="177" t="str">
        <f>IFERROR(VLOOKUP(B63,'03114902'!B:V,21,0),"")</f>
        <v/>
      </c>
      <c r="O63" s="178" t="str">
        <f>IFERROR(VLOOKUP(B63,'03114902'!B:W,22,0),"")</f>
        <v/>
      </c>
      <c r="P63" s="163" t="str">
        <f>IFERROR(VLOOKUP(B63,'03114902'!B:Y,24,0),"")</f>
        <v/>
      </c>
      <c r="Q63" s="180" t="str">
        <f>IFERROR(VLOOKUP(B63,'03114902'!B:Z,25,0) * 0.01,"")</f>
        <v/>
      </c>
      <c r="R63" s="163" t="str">
        <f>IFERROR(VLOOKUP(B63,'03114902'!B:AA,26,0),"")</f>
        <v/>
      </c>
      <c r="S63" s="181" t="str">
        <f>IFERROR(VLOOKUP(B63,'03114902'!B:AB,27,0) * 0.01,"")</f>
        <v/>
      </c>
    </row>
    <row r="64" spans="2:19" ht="15.75">
      <c r="B64" s="15" t="str">
        <f>IF(FIDELIZAÇÃO!C60 = "", "NA", FIDELIZAÇÃO!C60)</f>
        <v>ORA6C61</v>
      </c>
      <c r="C64" s="164" t="str">
        <f>IFERROR(VLOOKUP(B64,'03114902'!B:G,6,0),"")</f>
        <v/>
      </c>
      <c r="D64" s="163" t="str">
        <f>IFERROR(VLOOKUP(B64,'03114902'!B:O,14,0),"")</f>
        <v/>
      </c>
      <c r="E64" s="163" t="str">
        <f>IFERROR(VLOOKUP(B64,'03114902'!B:I,8,0),"")</f>
        <v/>
      </c>
      <c r="F64" s="163" t="str">
        <f>IFERROR(VLOOKUP(B64,'03114902'!B:L,11,0),"")</f>
        <v/>
      </c>
      <c r="G64" s="163" t="str">
        <f>IFERROR(VLOOKUP(D64,FIDELIZAÇÃO!C:E,3,0),"")</f>
        <v/>
      </c>
      <c r="H64" s="9" t="str">
        <f>IFERROR(VLOOKUP(G64,FIDELIZAÇÃO!E:F,2,0),"")</f>
        <v/>
      </c>
      <c r="I64" s="163" t="str">
        <f>IFERROR(VLOOKUP(D64,FIDELIZAÇÃO!C:G,5,0),"")</f>
        <v/>
      </c>
      <c r="J64" s="9" t="str">
        <f>IFERROR(VLOOKUP(I64,FIDELIZAÇÃO!G:H,2,0),"")</f>
        <v/>
      </c>
      <c r="K64" s="163" t="str">
        <f>IFERROR(VLOOKUP(B64,'03114902'!B:X,23,0),"")</f>
        <v/>
      </c>
      <c r="L64" s="9" t="str">
        <f>IFERROR(VLOOKUP(B64,'03114902'!B:AM,38,0),"")</f>
        <v/>
      </c>
      <c r="M64" s="9" t="str">
        <f>IFERROR(VLOOKUP(B64,'03114902'!B:AN,39,0),"")</f>
        <v/>
      </c>
      <c r="N64" s="177" t="str">
        <f>IFERROR(VLOOKUP(B64,'03114902'!B:V,21,0),"")</f>
        <v/>
      </c>
      <c r="O64" s="178" t="str">
        <f>IFERROR(VLOOKUP(B64,'03114902'!B:W,22,0),"")</f>
        <v/>
      </c>
      <c r="P64" s="163" t="str">
        <f>IFERROR(VLOOKUP(B64,'03114902'!B:Y,24,0),"")</f>
        <v/>
      </c>
      <c r="Q64" s="180" t="str">
        <f>IFERROR(VLOOKUP(B64,'03114902'!B:Z,25,0) * 0.01,"")</f>
        <v/>
      </c>
      <c r="R64" s="163" t="str">
        <f>IFERROR(VLOOKUP(B64,'03114902'!B:AA,26,0),"")</f>
        <v/>
      </c>
      <c r="S64" s="181" t="str">
        <f>IFERROR(VLOOKUP(B64,'03114902'!B:AB,27,0) * 0.01,"")</f>
        <v/>
      </c>
    </row>
    <row r="65" spans="2:19" ht="15.75">
      <c r="B65" s="15" t="str">
        <f>IF(FIDELIZAÇÃO!C61 = "", "NA", FIDELIZAÇÃO!C61)</f>
        <v>ARD7F95</v>
      </c>
      <c r="C65" s="164" t="str">
        <f>IFERROR(VLOOKUP(B65,'03114902'!B:G,6,0),"")</f>
        <v/>
      </c>
      <c r="D65" s="163" t="str">
        <f>IFERROR(VLOOKUP(B65,'03114902'!B:O,14,0),"")</f>
        <v/>
      </c>
      <c r="E65" s="163" t="str">
        <f>IFERROR(VLOOKUP(B65,'03114902'!B:I,8,0),"")</f>
        <v/>
      </c>
      <c r="F65" s="163" t="str">
        <f>IFERROR(VLOOKUP(B65,'03114902'!B:L,11,0),"")</f>
        <v/>
      </c>
      <c r="G65" s="163" t="str">
        <f>IFERROR(VLOOKUP(D65,FIDELIZAÇÃO!C:E,3,0),"")</f>
        <v/>
      </c>
      <c r="H65" s="9" t="str">
        <f>IFERROR(VLOOKUP(G65,FIDELIZAÇÃO!E:F,2,0),"")</f>
        <v/>
      </c>
      <c r="I65" s="163" t="str">
        <f>IFERROR(VLOOKUP(D65,FIDELIZAÇÃO!C:G,5,0),"")</f>
        <v/>
      </c>
      <c r="J65" s="9" t="str">
        <f>IFERROR(VLOOKUP(I65,FIDELIZAÇÃO!G:H,2,0),"")</f>
        <v/>
      </c>
      <c r="K65" s="163" t="str">
        <f>IFERROR(VLOOKUP(B65,'03114902'!B:X,23,0),"")</f>
        <v/>
      </c>
      <c r="L65" s="9" t="str">
        <f>IFERROR(VLOOKUP(B65,'03114902'!B:AM,38,0),"")</f>
        <v/>
      </c>
      <c r="M65" s="9" t="str">
        <f>IFERROR(VLOOKUP(B65,'03114902'!B:AN,39,0),"")</f>
        <v/>
      </c>
      <c r="N65" s="177" t="str">
        <f>IFERROR(VLOOKUP(B65,'03114902'!B:V,21,0),"")</f>
        <v/>
      </c>
      <c r="O65" s="178" t="str">
        <f>IFERROR(VLOOKUP(B65,'03114902'!B:W,22,0),"")</f>
        <v/>
      </c>
      <c r="P65" s="163" t="str">
        <f>IFERROR(VLOOKUP(B65,'03114902'!B:Y,24,0),"")</f>
        <v/>
      </c>
      <c r="Q65" s="180" t="str">
        <f>IFERROR(VLOOKUP(B65,'03114902'!B:Z,25,0) * 0.01,"")</f>
        <v/>
      </c>
      <c r="R65" s="163" t="str">
        <f>IFERROR(VLOOKUP(B65,'03114902'!B:AA,26,0),"")</f>
        <v/>
      </c>
      <c r="S65" s="181" t="str">
        <f>IFERROR(VLOOKUP(B65,'03114902'!B:AB,27,0) * 0.01,"")</f>
        <v/>
      </c>
    </row>
    <row r="66" spans="2:19" ht="15.75">
      <c r="B66" s="15" t="str">
        <f>IF(FIDELIZAÇÃO!C62 = "", "NA", FIDELIZAÇÃO!C62)</f>
        <v>IZI3B97</v>
      </c>
      <c r="C66" s="164" t="str">
        <f>IFERROR(VLOOKUP(B66,'03114902'!B:G,6,0),"")</f>
        <v/>
      </c>
      <c r="D66" s="163" t="str">
        <f>IFERROR(VLOOKUP(B66,'03114902'!B:O,14,0),"")</f>
        <v/>
      </c>
      <c r="E66" s="163" t="str">
        <f>IFERROR(VLOOKUP(B66,'03114902'!B:I,8,0),"")</f>
        <v/>
      </c>
      <c r="F66" s="163" t="str">
        <f>IFERROR(VLOOKUP(B66,'03114902'!B:L,11,0),"")</f>
        <v/>
      </c>
      <c r="G66" s="163" t="str">
        <f>IFERROR(VLOOKUP(D66,FIDELIZAÇÃO!C:E,3,0),"")</f>
        <v/>
      </c>
      <c r="H66" s="9" t="str">
        <f>IFERROR(VLOOKUP(G66,FIDELIZAÇÃO!E:F,2,0),"")</f>
        <v/>
      </c>
      <c r="I66" s="163" t="str">
        <f>IFERROR(VLOOKUP(D66,FIDELIZAÇÃO!C:G,5,0),"")</f>
        <v/>
      </c>
      <c r="J66" s="9" t="str">
        <f>IFERROR(VLOOKUP(I66,FIDELIZAÇÃO!G:H,2,0),"")</f>
        <v/>
      </c>
      <c r="K66" s="163" t="str">
        <f>IFERROR(VLOOKUP(B66,'03114902'!B:X,23,0),"")</f>
        <v/>
      </c>
      <c r="L66" s="9" t="str">
        <f>IFERROR(VLOOKUP(B66,'03114902'!B:AM,38,0),"")</f>
        <v/>
      </c>
      <c r="M66" s="9" t="str">
        <f>IFERROR(VLOOKUP(B66,'03114902'!B:AN,39,0),"")</f>
        <v/>
      </c>
      <c r="N66" s="177" t="str">
        <f>IFERROR(VLOOKUP(B66,'03114902'!B:V,21,0),"")</f>
        <v/>
      </c>
      <c r="O66" s="178" t="str">
        <f>IFERROR(VLOOKUP(B66,'03114902'!B:W,22,0),"")</f>
        <v/>
      </c>
      <c r="P66" s="163" t="str">
        <f>IFERROR(VLOOKUP(B66,'03114902'!B:Y,24,0),"")</f>
        <v/>
      </c>
      <c r="Q66" s="180" t="str">
        <f>IFERROR(VLOOKUP(B66,'03114902'!B:Z,25,0) * 0.01,"")</f>
        <v/>
      </c>
      <c r="R66" s="163" t="str">
        <f>IFERROR(VLOOKUP(B66,'03114902'!B:AA,26,0),"")</f>
        <v/>
      </c>
      <c r="S66" s="181" t="str">
        <f>IFERROR(VLOOKUP(B66,'03114902'!B:AB,27,0) * 0.01,"")</f>
        <v/>
      </c>
    </row>
    <row r="67" spans="2:19" ht="15.75">
      <c r="B67" s="15" t="str">
        <f>IF(FIDELIZAÇÃO!C63 = "", "NA", FIDELIZAÇÃO!C63)</f>
        <v>NA</v>
      </c>
      <c r="C67" s="164" t="str">
        <f>IFERROR(VLOOKUP(B67,'03114902'!B:G,6,0),"")</f>
        <v/>
      </c>
      <c r="D67" s="163" t="str">
        <f>IFERROR(VLOOKUP(B67,'03114902'!B:O,14,0),"")</f>
        <v/>
      </c>
      <c r="E67" s="163" t="str">
        <f>IFERROR(VLOOKUP(B67,'03114902'!B:I,8,0),"")</f>
        <v/>
      </c>
      <c r="F67" s="163" t="str">
        <f>IFERROR(VLOOKUP(B67,'03114902'!B:L,11,0),"")</f>
        <v/>
      </c>
      <c r="G67" s="163" t="str">
        <f>IFERROR(VLOOKUP(D67,FIDELIZAÇÃO!C:E,3,0),"")</f>
        <v/>
      </c>
      <c r="H67" s="9" t="str">
        <f>IFERROR(VLOOKUP(G67,FIDELIZAÇÃO!E:F,2,0),"")</f>
        <v/>
      </c>
      <c r="I67" s="163" t="str">
        <f>IFERROR(VLOOKUP(D67,FIDELIZAÇÃO!C:G,5,0),"")</f>
        <v/>
      </c>
      <c r="J67" s="9" t="str">
        <f>IFERROR(VLOOKUP(I67,FIDELIZAÇÃO!G:H,2,0),"")</f>
        <v/>
      </c>
      <c r="K67" s="163" t="str">
        <f>IFERROR(VLOOKUP(B67,'03114902'!B:X,23,0),"")</f>
        <v/>
      </c>
      <c r="L67" s="9" t="str">
        <f>IFERROR(VLOOKUP(B67,'03114902'!B:AM,38,0),"")</f>
        <v/>
      </c>
      <c r="M67" s="9" t="str">
        <f>IFERROR(VLOOKUP(B67,'03114902'!B:AN,39,0),"")</f>
        <v/>
      </c>
      <c r="N67" s="177" t="str">
        <f>IFERROR(VLOOKUP(B67,'03114902'!B:V,21,0),"")</f>
        <v/>
      </c>
      <c r="O67" s="178" t="str">
        <f>IFERROR(VLOOKUP(B67,'03114902'!B:W,22,0),"")</f>
        <v/>
      </c>
      <c r="P67" s="163" t="str">
        <f>IFERROR(VLOOKUP(B67,'03114902'!B:Y,24,0),"")</f>
        <v/>
      </c>
      <c r="Q67" s="180" t="str">
        <f>IFERROR(VLOOKUP(B67,'03114902'!B:Z,25,0) * 0.01,"")</f>
        <v/>
      </c>
      <c r="R67" s="163" t="str">
        <f>IFERROR(VLOOKUP(B67,'03114902'!B:AA,26,0),"")</f>
        <v/>
      </c>
      <c r="S67" s="181" t="str">
        <f>IFERROR(VLOOKUP(B67,'03114902'!B:AB,27,0) * 0.01,"")</f>
        <v/>
      </c>
    </row>
    <row r="68" spans="2:19" ht="15.75">
      <c r="B68" s="15" t="str">
        <f>IF(FIDELIZAÇÃO!C64 = "", "NA", FIDELIZAÇÃO!C64)</f>
        <v>NA</v>
      </c>
      <c r="C68" s="164" t="str">
        <f>IFERROR(VLOOKUP(B68,'03114902'!B:G,6,0),"")</f>
        <v/>
      </c>
      <c r="D68" s="163" t="str">
        <f>IFERROR(VLOOKUP(B68,'03114902'!B:O,14,0),"")</f>
        <v/>
      </c>
      <c r="E68" s="163" t="str">
        <f>IFERROR(VLOOKUP(B68,'03114902'!B:I,8,0),"")</f>
        <v/>
      </c>
      <c r="F68" s="163" t="str">
        <f>IFERROR(VLOOKUP(B68,'03114902'!B:L,11,0),"")</f>
        <v/>
      </c>
      <c r="G68" s="163" t="str">
        <f>IFERROR(VLOOKUP(D68,FIDELIZAÇÃO!C:E,3,0),"")</f>
        <v/>
      </c>
      <c r="H68" s="9" t="str">
        <f>IFERROR(VLOOKUP(G68,FIDELIZAÇÃO!E:F,2,0),"")</f>
        <v/>
      </c>
      <c r="I68" s="163" t="str">
        <f>IFERROR(VLOOKUP(D68,FIDELIZAÇÃO!C:G,5,0),"")</f>
        <v/>
      </c>
      <c r="J68" s="9" t="str">
        <f>IFERROR(VLOOKUP(I68,FIDELIZAÇÃO!G:H,2,0),"")</f>
        <v/>
      </c>
      <c r="K68" s="163" t="str">
        <f>IFERROR(VLOOKUP(B68,'03114902'!B:X,23,0),"")</f>
        <v/>
      </c>
      <c r="L68" s="9" t="str">
        <f>IFERROR(VLOOKUP(B68,'03114902'!B:AM,38,0),"")</f>
        <v/>
      </c>
      <c r="M68" s="9" t="str">
        <f>IFERROR(VLOOKUP(B68,'03114902'!B:AN,39,0),"")</f>
        <v/>
      </c>
      <c r="N68" s="177" t="str">
        <f>IFERROR(VLOOKUP(B68,'03114902'!B:V,21,0),"")</f>
        <v/>
      </c>
      <c r="O68" s="178" t="str">
        <f>IFERROR(VLOOKUP(B68,'03114902'!B:W,22,0),"")</f>
        <v/>
      </c>
      <c r="P68" s="163" t="str">
        <f>IFERROR(VLOOKUP(B68,'03114902'!B:Y,24,0),"")</f>
        <v/>
      </c>
      <c r="Q68" s="180" t="str">
        <f>IFERROR(VLOOKUP(B68,'03114902'!B:Z,25,0) * 0.01,"")</f>
        <v/>
      </c>
      <c r="R68" s="163" t="str">
        <f>IFERROR(VLOOKUP(B68,'03114902'!B:AA,26,0),"")</f>
        <v/>
      </c>
      <c r="S68" s="181" t="str">
        <f>IFERROR(VLOOKUP(B68,'03114902'!B:AB,27,0) * 0.01,"")</f>
        <v/>
      </c>
    </row>
    <row r="299" spans="12:12">
      <c r="L299" s="165" t="s">
        <v>26</v>
      </c>
    </row>
  </sheetData>
  <mergeCells count="6">
    <mergeCell ref="Q1:S1"/>
    <mergeCell ref="C35:R35"/>
    <mergeCell ref="C47:R47"/>
    <mergeCell ref="C42:R42"/>
    <mergeCell ref="C2:R2"/>
    <mergeCell ref="C17:R17"/>
  </mergeCells>
  <phoneticPr fontId="8" type="noConversion"/>
  <conditionalFormatting sqref="N37:N40 N4:N16 N44:N46 N49:N68 N19:N3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7:O40 O4:O16 O44:O46 O49:O68 O19:O3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7:P40 P4:P16 P44:P46 P49:P68 P19:P3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4:Q16 Q37:Q40 Q44:Q46 Q49:Q68 Q19:Q3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7:R40 R4:R16 R44:R46 R49:R68 R19:R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4:S16 S37:S40 S44:S46 S49:S68 S19: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paperSize="9" orientation="landscape" r:id="rId1"/>
  <ignoredErrors>
    <ignoredError sqref="S44 S37 S19 B50:B68" calculatedColumn="1"/>
  </ignoredErrors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S52"/>
  <sheetViews>
    <sheetView showGridLines="0" topLeftCell="B18" zoomScale="85" zoomScaleNormal="85" workbookViewId="0">
      <selection activeCell="I23" sqref="I23"/>
    </sheetView>
  </sheetViews>
  <sheetFormatPr defaultColWidth="0" defaultRowHeight="15.75" customHeight="1"/>
  <cols>
    <col min="1" max="1" width="7" style="165" hidden="1" customWidth="1"/>
    <col min="2" max="2" width="13.5703125" style="175" customWidth="1"/>
    <col min="3" max="3" width="10.140625" style="175" bestFit="1" customWidth="1"/>
    <col min="4" max="4" width="9.140625" style="175" bestFit="1" customWidth="1"/>
    <col min="5" max="5" width="9.42578125" style="175" bestFit="1" customWidth="1"/>
    <col min="6" max="6" width="7.140625" style="175" bestFit="1" customWidth="1"/>
    <col min="7" max="7" width="31" style="175" customWidth="1"/>
    <col min="8" max="8" width="7.140625" style="175" bestFit="1" customWidth="1"/>
    <col min="9" max="9" width="38.140625" style="228" customWidth="1"/>
    <col min="10" max="10" width="12" style="175" customWidth="1"/>
    <col min="11" max="11" width="26.5703125" style="228" customWidth="1"/>
    <col min="12" max="12" width="35.85546875" style="175" customWidth="1"/>
    <col min="13" max="13" width="15.42578125" style="175" bestFit="1" customWidth="1"/>
    <col min="14" max="14" width="13.85546875" style="175" bestFit="1" customWidth="1"/>
    <col min="15" max="15" width="16.85546875" style="175" bestFit="1" customWidth="1"/>
    <col min="16" max="16" width="13.42578125" style="175" bestFit="1" customWidth="1"/>
    <col min="17" max="17" width="18.42578125" style="175" bestFit="1" customWidth="1"/>
    <col min="18" max="18" width="7.42578125" style="175" customWidth="1"/>
    <col min="19" max="19" width="0" style="175" hidden="1"/>
    <col min="20" max="16383" width="8.85546875" style="175" hidden="1"/>
    <col min="16384" max="16384" width="8.85546875" style="175" hidden="1" customWidth="1"/>
  </cols>
  <sheetData>
    <row r="1" spans="1:18" s="165" customFormat="1" ht="26.25">
      <c r="B1" s="166" t="s">
        <v>27</v>
      </c>
      <c r="I1" s="228"/>
      <c r="K1" s="228"/>
      <c r="P1" s="289">
        <f>'03114902'!G2</f>
        <v>46297</v>
      </c>
      <c r="Q1" s="289"/>
      <c r="R1" s="289"/>
    </row>
    <row r="2" spans="1:18" customFormat="1">
      <c r="A2" s="207" t="s">
        <v>28</v>
      </c>
      <c r="B2" s="9" t="s">
        <v>3</v>
      </c>
      <c r="C2" s="9" t="s">
        <v>4</v>
      </c>
      <c r="D2" s="9" t="s">
        <v>5</v>
      </c>
      <c r="E2" s="9" t="s">
        <v>6</v>
      </c>
      <c r="F2" s="9" t="s">
        <v>7</v>
      </c>
      <c r="G2" s="9" t="s">
        <v>8</v>
      </c>
      <c r="H2" s="9" t="s">
        <v>9</v>
      </c>
      <c r="I2" s="229" t="s">
        <v>10</v>
      </c>
      <c r="J2" s="9" t="s">
        <v>11</v>
      </c>
      <c r="K2" s="229" t="s">
        <v>12</v>
      </c>
      <c r="L2" s="9" t="s">
        <v>13</v>
      </c>
      <c r="M2" s="9" t="s">
        <v>14</v>
      </c>
      <c r="N2" s="14" t="s">
        <v>15</v>
      </c>
      <c r="O2" s="9" t="s">
        <v>16</v>
      </c>
      <c r="P2" s="9" t="s">
        <v>17</v>
      </c>
      <c r="Q2" s="9" t="s">
        <v>18</v>
      </c>
      <c r="R2" s="9" t="s">
        <v>29</v>
      </c>
    </row>
    <row r="3" spans="1:18" s="1" customFormat="1">
      <c r="A3" s="208">
        <v>1</v>
      </c>
      <c r="B3" s="164">
        <f>VLOOKUP(A3,'03114902'!A:G,7,0)</f>
        <v>46297</v>
      </c>
      <c r="C3" s="163" t="str">
        <f>VLOOKUP(A3,'03114902'!A:O,2,0)</f>
        <v>KAG0C07</v>
      </c>
      <c r="D3" s="163">
        <f>VLOOKUP(A3,'03114902'!A:I,9,0)</f>
        <v>179795</v>
      </c>
      <c r="E3" s="163" t="str">
        <f>VLOOKUP(A3,'03114902'!A:L,12,0)</f>
        <v>AS</v>
      </c>
      <c r="F3" s="163">
        <f>IFERROR(VLOOKUP(C3,FIDELIZAÇÃO!C:E,3,0),"")</f>
        <v>136</v>
      </c>
      <c r="G3" s="229" t="str">
        <f>IFERROR(VLOOKUP(F3,FIDELIZAÇÃO!E:F,2,0),"")</f>
        <v>GABRIEL BRITO</v>
      </c>
      <c r="H3" s="163">
        <f>IFERROR(VLOOKUP(C3,FIDELIZAÇÃO!C:G,5,0),"")</f>
        <v>0</v>
      </c>
      <c r="I3" s="229" t="str">
        <f>IFERROR(VLOOKUP(H3,FIDELIZAÇÃO!G:H,2,0),"")</f>
        <v/>
      </c>
      <c r="J3" s="163">
        <f>IFERROR(VLOOKUP(A3,'03114902'!A:X,24,0),"")</f>
        <v>1</v>
      </c>
      <c r="K3" s="229" t="str">
        <f>VLOOKUP(A3,'03114902'!A:AM,39,0)</f>
        <v>FORMOSA DO OESTE (1)</v>
      </c>
      <c r="L3" s="163" t="str">
        <f>VLOOKUP(A3,'03114902'!A:AN,40,0)</f>
        <v>[FOR]: CENTRO (1)</v>
      </c>
      <c r="M3" s="177">
        <f>VLOOKUP(A3,'03114902'!A:V,22,0)</f>
        <v>469.3</v>
      </c>
      <c r="N3" s="178">
        <f>VLOOKUP(A3,'03114902'!A:W,23,0)</f>
        <v>1.0201388888888889</v>
      </c>
      <c r="O3" s="163">
        <f>VLOOKUP(A3,'03114902'!A:Y,25,0)</f>
        <v>103.18</v>
      </c>
      <c r="P3" s="163">
        <f>VLOOKUP(A3,'03114902'!A:Z,26,0)</f>
        <v>81.88</v>
      </c>
      <c r="Q3" s="163">
        <f>VLOOKUP(A3,'03114902'!A:AA,27,0)</f>
        <v>2987</v>
      </c>
      <c r="R3" s="163">
        <f>VLOOKUP(A3,'03114902'!A:AB,28,0)</f>
        <v>93.36</v>
      </c>
    </row>
    <row r="4" spans="1:18" s="1" customFormat="1">
      <c r="A4" s="208">
        <f>A3+1</f>
        <v>2</v>
      </c>
      <c r="B4" s="164">
        <f>VLOOKUP(A4,'03114902'!A:G,7,0)</f>
        <v>46297</v>
      </c>
      <c r="C4" s="163" t="str">
        <f>VLOOKUP(A4,'03114902'!A:O,2,0)</f>
        <v>IQU6H77</v>
      </c>
      <c r="D4" s="163">
        <f>VLOOKUP(A4,'03114902'!A:I,9,0)</f>
        <v>179796</v>
      </c>
      <c r="E4" s="163" t="str">
        <f>VLOOKUP(A4,'03114902'!A:L,12,0)</f>
        <v>AS</v>
      </c>
      <c r="F4" s="163">
        <f>IFERROR(VLOOKUP(C4,FIDELIZAÇÃO!C:E,3,0),"")</f>
        <v>216</v>
      </c>
      <c r="G4" s="229" t="str">
        <f>IFERROR(VLOOKUP(F4,FIDELIZAÇÃO!E:F,2,0),"")</f>
        <v>EDILEUZA CORREIA</v>
      </c>
      <c r="H4" s="163">
        <f>IFERROR(VLOOKUP(C4,FIDELIZAÇÃO!C:G,5,0),"")</f>
        <v>0</v>
      </c>
      <c r="I4" s="229" t="str">
        <f>IFERROR(VLOOKUP(H4,FIDELIZAÇÃO!G:H,2,0),"")</f>
        <v/>
      </c>
      <c r="J4" s="163">
        <f>IFERROR(VLOOKUP(A4,'03114902'!A:X,24,0),"")</f>
        <v>1</v>
      </c>
      <c r="K4" s="229" t="str">
        <f>VLOOKUP(A4,'03114902'!A:AM,39,0)</f>
        <v>GOIOERE (1)</v>
      </c>
      <c r="L4" s="163" t="str">
        <f>VLOOKUP(A4,'03114902'!A:AN,40,0)</f>
        <v>[GOI]: CENTRO (1)</v>
      </c>
      <c r="M4" s="177">
        <f>VLOOKUP(A4,'03114902'!A:V,22,0)</f>
        <v>469.7</v>
      </c>
      <c r="N4" s="178">
        <f>VLOOKUP(A4,'03114902'!A:W,23,0)</f>
        <v>1.0243055555555556</v>
      </c>
      <c r="O4" s="163">
        <f>VLOOKUP(A4,'03114902'!A:Y,25,0)</f>
        <v>92.95</v>
      </c>
      <c r="P4" s="163">
        <f>VLOOKUP(A4,'03114902'!A:Z,26,0)</f>
        <v>73.760000000000005</v>
      </c>
      <c r="Q4" s="163">
        <f>VLOOKUP(A4,'03114902'!A:AA,27,0)</f>
        <v>2725</v>
      </c>
      <c r="R4" s="163">
        <f>VLOOKUP(A4,'03114902'!A:AB,28,0)</f>
        <v>85.44</v>
      </c>
    </row>
    <row r="5" spans="1:18" s="1" customFormat="1">
      <c r="A5" s="208">
        <f t="shared" ref="A5:A52" si="0">A4+1</f>
        <v>3</v>
      </c>
      <c r="B5" s="164">
        <f>VLOOKUP(A5,'03114902'!A:G,7,0)</f>
        <v>46297</v>
      </c>
      <c r="C5" s="163" t="str">
        <f>VLOOKUP(A5,'03114902'!A:O,2,0)</f>
        <v>MDB1A18</v>
      </c>
      <c r="D5" s="163">
        <f>VLOOKUP(A5,'03114902'!A:I,9,0)</f>
        <v>179797</v>
      </c>
      <c r="E5" s="163" t="str">
        <f>VLOOKUP(A5,'03114902'!A:L,12,0)</f>
        <v>AS</v>
      </c>
      <c r="F5" s="163">
        <f>IFERROR(VLOOKUP(C5,FIDELIZAÇÃO!C:E,3,0),"")</f>
        <v>305</v>
      </c>
      <c r="G5" s="229" t="str">
        <f>IFERROR(VLOOKUP(F5,FIDELIZAÇÃO!E:F,2,0),"")</f>
        <v>JOAO SOUZA DOS REIS</v>
      </c>
      <c r="H5" s="163">
        <f>IFERROR(VLOOKUP(C5,FIDELIZAÇÃO!C:G,5,0),"")</f>
        <v>0</v>
      </c>
      <c r="I5" s="229" t="str">
        <f>IFERROR(VLOOKUP(H5,FIDELIZAÇÃO!G:H,2,0),"")</f>
        <v/>
      </c>
      <c r="J5" s="163">
        <f>IFERROR(VLOOKUP(A5,'03114902'!A:X,24,0),"")</f>
        <v>1</v>
      </c>
      <c r="K5" s="229" t="str">
        <f>VLOOKUP(A5,'03114902'!A:AM,39,0)</f>
        <v>MARECHAL CANDIDO RONDON (1)</v>
      </c>
      <c r="L5" s="163" t="str">
        <f>VLOOKUP(A5,'03114902'!A:AN,40,0)</f>
        <v>[MAR]: CENTRO (1)</v>
      </c>
      <c r="M5" s="177">
        <f>VLOOKUP(A5,'03114902'!A:V,22,0)</f>
        <v>306.56</v>
      </c>
      <c r="N5" s="178">
        <f>VLOOKUP(A5,'03114902'!A:W,23,0)</f>
        <v>0.34861111111111109</v>
      </c>
      <c r="O5" s="163">
        <f>VLOOKUP(A5,'03114902'!A:Y,25,0)</f>
        <v>105.71</v>
      </c>
      <c r="P5" s="163">
        <f>VLOOKUP(A5,'03114902'!A:Z,26,0)</f>
        <v>62.92</v>
      </c>
      <c r="Q5" s="163">
        <f>VLOOKUP(A5,'03114902'!A:AA,27,0)</f>
        <v>3106</v>
      </c>
      <c r="R5" s="163">
        <f>VLOOKUP(A5,'03114902'!A:AB,28,0)</f>
        <v>72.23</v>
      </c>
    </row>
    <row r="6" spans="1:18" s="1" customFormat="1">
      <c r="A6" s="208">
        <f t="shared" si="0"/>
        <v>4</v>
      </c>
      <c r="B6" s="164">
        <f>VLOOKUP(A6,'03114902'!A:G,7,0)</f>
        <v>46297</v>
      </c>
      <c r="C6" s="163" t="str">
        <f>VLOOKUP(A6,'03114902'!A:O,2,0)</f>
        <v>NXK5H74</v>
      </c>
      <c r="D6" s="163">
        <f>VLOOKUP(A6,'03114902'!A:I,9,0)</f>
        <v>179798</v>
      </c>
      <c r="E6" s="163" t="str">
        <f>VLOOKUP(A6,'03114902'!A:L,12,0)</f>
        <v>AS</v>
      </c>
      <c r="F6" s="163">
        <f>IFERROR(VLOOKUP(C6,FIDELIZAÇÃO!C:E,3,0),"")</f>
        <v>234</v>
      </c>
      <c r="G6" s="229" t="str">
        <f>IFERROR(VLOOKUP(F6,FIDELIZAÇÃO!E:F,2,0),"")</f>
        <v>FLAVIO</v>
      </c>
      <c r="H6" s="163">
        <f>IFERROR(VLOOKUP(C6,FIDELIZAÇÃO!C:G,5,0),"")</f>
        <v>0</v>
      </c>
      <c r="I6" s="229" t="str">
        <f>IFERROR(VLOOKUP(H6,FIDELIZAÇÃO!G:H,2,0),"")</f>
        <v/>
      </c>
      <c r="J6" s="163">
        <f>IFERROR(VLOOKUP(A6,'03114902'!A:X,24,0),"")</f>
        <v>1</v>
      </c>
      <c r="K6" s="229" t="str">
        <f>VLOOKUP(A6,'03114902'!A:AM,39,0)</f>
        <v>JESUITAS (1)</v>
      </c>
      <c r="L6" s="163" t="str">
        <f>VLOOKUP(A6,'03114902'!A:AN,40,0)</f>
        <v>[JES]: CENTRO (1)</v>
      </c>
      <c r="M6" s="177">
        <f>VLOOKUP(A6,'03114902'!A:V,22,0)</f>
        <v>442.75</v>
      </c>
      <c r="N6" s="178">
        <f>VLOOKUP(A6,'03114902'!A:W,23,0)</f>
        <v>1.0006944444444446</v>
      </c>
      <c r="O6" s="163">
        <f>VLOOKUP(A6,'03114902'!A:Y,25,0)</f>
        <v>87.63</v>
      </c>
      <c r="P6" s="163">
        <f>VLOOKUP(A6,'03114902'!A:Z,26,0)</f>
        <v>69.540000000000006</v>
      </c>
      <c r="Q6" s="163">
        <f>VLOOKUP(A6,'03114902'!A:AA,27,0)</f>
        <v>2591</v>
      </c>
      <c r="R6" s="163">
        <f>VLOOKUP(A6,'03114902'!A:AB,28,0)</f>
        <v>93.55</v>
      </c>
    </row>
    <row r="7" spans="1:18" s="1" customFormat="1">
      <c r="A7" s="208">
        <f t="shared" si="0"/>
        <v>5</v>
      </c>
      <c r="B7" s="164">
        <f>VLOOKUP(A7,'03114902'!A:G,7,0)</f>
        <v>46297</v>
      </c>
      <c r="C7" s="163" t="str">
        <f>VLOOKUP(A7,'03114902'!A:O,2,0)</f>
        <v>EWU3H21</v>
      </c>
      <c r="D7" s="163">
        <f>VLOOKUP(A7,'03114902'!A:I,9,0)</f>
        <v>179799</v>
      </c>
      <c r="E7" s="163" t="str">
        <f>VLOOKUP(A7,'03114902'!A:L,12,0)</f>
        <v>AS</v>
      </c>
      <c r="F7" s="163">
        <f>IFERROR(VLOOKUP(C7,FIDELIZAÇÃO!C:E,3,0),"")</f>
        <v>273</v>
      </c>
      <c r="G7" s="229" t="str">
        <f>IFERROR(VLOOKUP(F7,FIDELIZAÇÃO!E:F,2,0),"")</f>
        <v>LEONIR DHEIN</v>
      </c>
      <c r="H7" s="163">
        <f>IFERROR(VLOOKUP(C7,FIDELIZAÇÃO!C:G,5,0),"")</f>
        <v>0</v>
      </c>
      <c r="I7" s="229" t="str">
        <f>IFERROR(VLOOKUP(H7,FIDELIZAÇÃO!G:H,2,0),"")</f>
        <v/>
      </c>
      <c r="J7" s="163">
        <f>IFERROR(VLOOKUP(A7,'03114902'!A:X,24,0),"")</f>
        <v>1</v>
      </c>
      <c r="K7" s="229" t="str">
        <f>VLOOKUP(A7,'03114902'!A:AM,39,0)</f>
        <v>MARECHAL CANDIDO RONDON (1)</v>
      </c>
      <c r="L7" s="163" t="str">
        <f>VLOOKUP(A7,'03114902'!A:AN,40,0)</f>
        <v>[MAR]: CENTRO (1)</v>
      </c>
      <c r="M7" s="177">
        <f>VLOOKUP(A7,'03114902'!A:V,22,0)</f>
        <v>364.68</v>
      </c>
      <c r="N7" s="178">
        <f>VLOOKUP(A7,'03114902'!A:W,23,0)</f>
        <v>1.226388888888889</v>
      </c>
      <c r="O7" s="163">
        <f>VLOOKUP(A7,'03114902'!A:Y,25,0)</f>
        <v>303.97000000000003</v>
      </c>
      <c r="P7" s="163">
        <f>VLOOKUP(A7,'03114902'!A:Z,26,0)</f>
        <v>60.31</v>
      </c>
      <c r="Q7" s="163">
        <f>VLOOKUP(A7,'03114902'!A:AA,27,0)</f>
        <v>8693</v>
      </c>
      <c r="R7" s="163">
        <f>VLOOKUP(A7,'03114902'!A:AB,28,0)</f>
        <v>53.62</v>
      </c>
    </row>
    <row r="8" spans="1:18" s="1" customFormat="1">
      <c r="A8" s="208">
        <f t="shared" si="0"/>
        <v>6</v>
      </c>
      <c r="B8" s="164">
        <f>VLOOKUP(A8,'03114902'!A:G,7,0)</f>
        <v>46297</v>
      </c>
      <c r="C8" s="163" t="str">
        <f>VLOOKUP(A8,'03114902'!A:O,2,0)</f>
        <v>DVT4G32</v>
      </c>
      <c r="D8" s="163">
        <f>VLOOKUP(A8,'03114902'!A:I,9,0)</f>
        <v>179800</v>
      </c>
      <c r="E8" s="163" t="str">
        <f>VLOOKUP(A8,'03114902'!A:L,12,0)</f>
        <v>AS</v>
      </c>
      <c r="F8" s="163">
        <f>IFERROR(VLOOKUP(C8,FIDELIZAÇÃO!C:E,3,0),"")</f>
        <v>276</v>
      </c>
      <c r="G8" s="229" t="str">
        <f>IFERROR(VLOOKUP(F8,FIDELIZAÇÃO!E:F,2,0),"")</f>
        <v>WELVIS SILVA CARNEIRO</v>
      </c>
      <c r="H8" s="163">
        <f>IFERROR(VLOOKUP(C8,FIDELIZAÇÃO!C:G,5,0),"")</f>
        <v>0</v>
      </c>
      <c r="I8" s="229" t="str">
        <f>IFERROR(VLOOKUP(H8,FIDELIZAÇÃO!G:H,2,0),"")</f>
        <v/>
      </c>
      <c r="J8" s="163">
        <f>IFERROR(VLOOKUP(A8,'03114902'!A:X,24,0),"")</f>
        <v>1</v>
      </c>
      <c r="K8" s="229" t="str">
        <f>VLOOKUP(A8,'03114902'!A:AM,39,0)</f>
        <v>GUAIRA (1)</v>
      </c>
      <c r="L8" s="163" t="str">
        <f>VLOOKUP(A8,'03114902'!A:AN,40,0)</f>
        <v>[GUA]: CENTRO (1)</v>
      </c>
      <c r="M8" s="177">
        <f>VLOOKUP(A8,'03114902'!A:V,22,0)</f>
        <v>423.4</v>
      </c>
      <c r="N8" s="178">
        <f>VLOOKUP(A8,'03114902'!A:W,23,0)</f>
        <v>1.2118055555555556</v>
      </c>
      <c r="O8" s="163">
        <f>VLOOKUP(A8,'03114902'!A:Y,25,0)</f>
        <v>185.44</v>
      </c>
      <c r="P8" s="163">
        <f>VLOOKUP(A8,'03114902'!A:Z,26,0)</f>
        <v>44.15</v>
      </c>
      <c r="Q8" s="163">
        <f>VLOOKUP(A8,'03114902'!A:AA,27,0)</f>
        <v>5139</v>
      </c>
      <c r="R8" s="163">
        <f>VLOOKUP(A8,'03114902'!A:AB,28,0)</f>
        <v>63.53</v>
      </c>
    </row>
    <row r="9" spans="1:18" s="1" customFormat="1">
      <c r="A9" s="208">
        <f t="shared" si="0"/>
        <v>7</v>
      </c>
      <c r="B9" s="164">
        <f>VLOOKUP(A9,'03114902'!A:G,7,0)</f>
        <v>46297</v>
      </c>
      <c r="C9" s="163" t="str">
        <f>VLOOKUP(A9,'03114902'!A:O,2,0)</f>
        <v>FML6122</v>
      </c>
      <c r="D9" s="163">
        <f>VLOOKUP(A9,'03114902'!A:I,9,0)</f>
        <v>179801</v>
      </c>
      <c r="E9" s="163" t="str">
        <f>VLOOKUP(A9,'03114902'!A:L,12,0)</f>
        <v>Rota</v>
      </c>
      <c r="F9" s="163">
        <f>IFERROR(VLOOKUP(C9,FIDELIZAÇÃO!C:E,3,0),"")</f>
        <v>217</v>
      </c>
      <c r="G9" s="229" t="str">
        <f>IFERROR(VLOOKUP(F9,FIDELIZAÇÃO!E:F,2,0),"")</f>
        <v>FELIPE DE OLIVEIRA PORTO</v>
      </c>
      <c r="H9" s="163">
        <f>IFERROR(VLOOKUP(C9,FIDELIZAÇÃO!C:G,5,0),"")</f>
        <v>174</v>
      </c>
      <c r="I9" s="229" t="str">
        <f>IFERROR(VLOOKUP(H9,FIDELIZAÇÃO!G:H,2,0),"")</f>
        <v>RODRIGO FIRMINO DE ABREU</v>
      </c>
      <c r="J9" s="163">
        <f>IFERROR(VLOOKUP(A9,'03114902'!A:X,24,0),"")</f>
        <v>14</v>
      </c>
      <c r="K9" s="229" t="str">
        <f>VLOOKUP(A9,'03114902'!A:AM,39,0)</f>
        <v>SANTA HELENA (14)</v>
      </c>
      <c r="L9" s="163" t="str">
        <f>VLOOKUP(A9,'03114902'!A:AN,40,0)</f>
        <v>[SAN]: CENTRO (6) / DISTRITO DE VILA CELESTE (1) / DISTRITO DE SUB-SEDE SAO FRANCISCO (1) / MORENINHA (1) / VILA NOVA (1) / MORENINHA (1) / SAO CLEMENTE (1) / SUB SEDE (1) / VILA RICA (1)</v>
      </c>
      <c r="M9" s="177">
        <f>VLOOKUP(A9,'03114902'!A:V,22,0)</f>
        <v>272.41000000000003</v>
      </c>
      <c r="N9" s="178">
        <f>VLOOKUP(A9,'03114902'!A:W,23,0)</f>
        <v>0.43541666666666667</v>
      </c>
      <c r="O9" s="163">
        <f>VLOOKUP(A9,'03114902'!A:Y,25,0)</f>
        <v>140.53</v>
      </c>
      <c r="P9" s="163">
        <f>VLOOKUP(A9,'03114902'!A:Z,26,0)</f>
        <v>45.62</v>
      </c>
      <c r="Q9" s="163">
        <f>VLOOKUP(A9,'03114902'!A:AA,27,0)</f>
        <v>3719</v>
      </c>
      <c r="R9" s="163">
        <f>VLOOKUP(A9,'03114902'!A:AB,28,0)</f>
        <v>46.66</v>
      </c>
    </row>
    <row r="10" spans="1:18" s="1" customFormat="1">
      <c r="A10" s="208">
        <f t="shared" si="0"/>
        <v>8</v>
      </c>
      <c r="B10" s="164">
        <f>VLOOKUP(A10,'03114902'!A:G,7,0)</f>
        <v>46297</v>
      </c>
      <c r="C10" s="163" t="str">
        <f>VLOOKUP(A10,'03114902'!A:O,2,0)</f>
        <v>FCO7153</v>
      </c>
      <c r="D10" s="163">
        <f>VLOOKUP(A10,'03114902'!A:I,9,0)</f>
        <v>179802</v>
      </c>
      <c r="E10" s="163" t="str">
        <f>VLOOKUP(A10,'03114902'!A:L,12,0)</f>
        <v>Rota</v>
      </c>
      <c r="F10" s="163">
        <f>IFERROR(VLOOKUP(C10,FIDELIZAÇÃO!C:E,3,0),"")</f>
        <v>15</v>
      </c>
      <c r="G10" s="229" t="str">
        <f>IFERROR(VLOOKUP(F10,FIDELIZAÇÃO!E:F,2,0),"")</f>
        <v>PAULO EDSON DE OLIVEIRA</v>
      </c>
      <c r="H10" s="163">
        <f>IFERROR(VLOOKUP(C10,FIDELIZAÇÃO!C:G,5,0),"")</f>
        <v>191</v>
      </c>
      <c r="I10" s="265" t="str">
        <f>IFERROR(VLOOKUP(H10,FIDELIZAÇÃO!G:H,2,0),"")</f>
        <v>LUCAS GONÇALVES / 120 EDSON</v>
      </c>
      <c r="J10" s="163">
        <f>IFERROR(VLOOKUP(A10,'03114902'!A:X,24,0),"")</f>
        <v>16</v>
      </c>
      <c r="K10" s="229" t="str">
        <f>VLOOKUP(A10,'03114902'!A:AM,39,0)</f>
        <v>SANTA HELENA (8) / ITAIPULANDIA (7) / SAO MIGUEL DO IGUACU (1)</v>
      </c>
      <c r="L10" s="163" t="str">
        <f>VLOOKUP(A10,'03114902'!A:AN,40,0)</f>
        <v>[SAN]: SAO ROQUE (4) / CENTRO (2) / DISTRITO DE SAO ROQUE (1) / DISTRITO SAO ROQUE (1) / [ITA]: CENTRO (4) / VILA CARAMURU (1) / CENTRO (1) / PIONEIROS (1) / [SAO]: CENTRO (1)</v>
      </c>
      <c r="M10" s="177">
        <f>VLOOKUP(A10,'03114902'!A:V,22,0)</f>
        <v>195.07</v>
      </c>
      <c r="N10" s="178">
        <f>VLOOKUP(A10,'03114902'!A:W,23,0)</f>
        <v>0.4201388888888889</v>
      </c>
      <c r="O10" s="163">
        <f>VLOOKUP(A10,'03114902'!A:Y,25,0)</f>
        <v>177</v>
      </c>
      <c r="P10" s="163">
        <f>VLOOKUP(A10,'03114902'!A:Z,26,0)</f>
        <v>57.46</v>
      </c>
      <c r="Q10" s="163">
        <f>VLOOKUP(A10,'03114902'!A:AA,27,0)</f>
        <v>4498</v>
      </c>
      <c r="R10" s="163">
        <f>VLOOKUP(A10,'03114902'!A:AB,28,0)</f>
        <v>53.86</v>
      </c>
    </row>
    <row r="11" spans="1:18" s="1" customFormat="1">
      <c r="A11" s="227">
        <f t="shared" si="0"/>
        <v>9</v>
      </c>
      <c r="B11" s="164">
        <f>VLOOKUP(A11,'03114902'!A:G,7,0)</f>
        <v>46297</v>
      </c>
      <c r="C11" s="163" t="str">
        <f>VLOOKUP(A11,'03114902'!A:O,2,0)</f>
        <v>FUX6061</v>
      </c>
      <c r="D11" s="163">
        <f>VLOOKUP(A11,'03114902'!A:I,9,0)</f>
        <v>179803</v>
      </c>
      <c r="E11" s="163" t="str">
        <f>VLOOKUP(A11,'03114902'!A:L,12,0)</f>
        <v>Rota</v>
      </c>
      <c r="F11" s="163">
        <f>IFERROR(VLOOKUP(C11,FIDELIZAÇÃO!C:E,3,0),"")</f>
        <v>244</v>
      </c>
      <c r="G11" s="229" t="str">
        <f>IFERROR(VLOOKUP(F11,FIDELIZAÇÃO!E:F,2,0),"")</f>
        <v>ANDRE APARECIDO</v>
      </c>
      <c r="H11" s="163">
        <f>IFERROR(VLOOKUP(C11,FIDELIZAÇÃO!C:G,5,0),"")</f>
        <v>170</v>
      </c>
      <c r="I11" s="229" t="str">
        <f>IFERROR(VLOOKUP(H11,FIDELIZAÇÃO!G:H,2,0),"")</f>
        <v>ALBERTO RAMON FRUTOS</v>
      </c>
      <c r="J11" s="163">
        <f>IFERROR(VLOOKUP(A11,'03114902'!A:X,24,0),"")</f>
        <v>17</v>
      </c>
      <c r="K11" s="229" t="str">
        <f>VLOOKUP(A11,'03114902'!A:AM,39,0)</f>
        <v>FOZ DO IGUACU (17)</v>
      </c>
      <c r="L11" s="163" t="str">
        <f>VLOOKUP(A11,'03114902'!A:AN,40,0)</f>
        <v>[FOZ]: PANORAMA (2) / CARIMA (2) / CENTRO (1) / COHAPAR III (1) / JARDIM DAS LARANJEIRAS (1) / JARDIM PANORAMA (1) / JARDIM SAO PAULO II (1) / MORUMBI I (1) / PARQUE MORUMBI I (1) / PARQUE RESIDENCIAL MORUMBI II (1) / VILA BORGES (1) / CIDADE NOVA (1) / PORTES (1) / SAO ROQUE (1) / MORUMBI (1)</v>
      </c>
      <c r="M11" s="177">
        <f>VLOOKUP(A11,'03114902'!A:V,22,0)</f>
        <v>65.25</v>
      </c>
      <c r="N11" s="178">
        <f>VLOOKUP(A11,'03114902'!A:W,23,0)</f>
        <v>0.42986111111111114</v>
      </c>
      <c r="O11" s="163">
        <f>VLOOKUP(A11,'03114902'!A:Y,25,0)</f>
        <v>188.5</v>
      </c>
      <c r="P11" s="163">
        <f>VLOOKUP(A11,'03114902'!A:Z,26,0)</f>
        <v>61.2</v>
      </c>
      <c r="Q11" s="163">
        <f>VLOOKUP(A11,'03114902'!A:AA,27,0)</f>
        <v>4992</v>
      </c>
      <c r="R11" s="163">
        <f>VLOOKUP(A11,'03114902'!A:AB,28,0)</f>
        <v>59.77</v>
      </c>
    </row>
    <row r="12" spans="1:18" s="1" customFormat="1">
      <c r="A12" s="208">
        <f t="shared" si="0"/>
        <v>10</v>
      </c>
      <c r="B12" s="164">
        <f>VLOOKUP(A12,'03114902'!A:G,7,0)</f>
        <v>46297</v>
      </c>
      <c r="C12" s="163" t="str">
        <f>VLOOKUP(A12,'03114902'!A:O,2,0)</f>
        <v>RTI1I17</v>
      </c>
      <c r="D12" s="163">
        <f>VLOOKUP(A12,'03114902'!A:I,9,0)</f>
        <v>179804</v>
      </c>
      <c r="E12" s="163" t="str">
        <f>VLOOKUP(A12,'03114902'!A:L,12,0)</f>
        <v>Rota</v>
      </c>
      <c r="F12" s="163">
        <f>IFERROR(VLOOKUP(C12,FIDELIZAÇÃO!C:E,3,0),"")</f>
        <v>5</v>
      </c>
      <c r="G12" s="229" t="str">
        <f>IFERROR(VLOOKUP(F12,FIDELIZAÇÃO!E:F,2,0),"")</f>
        <v>ADEMAR BERGMANN TELES</v>
      </c>
      <c r="H12" s="163">
        <f>IFERROR(VLOOKUP(C12,FIDELIZAÇÃO!C:G,5,0),"")</f>
        <v>0</v>
      </c>
      <c r="I12" s="229" t="str">
        <f>IFERROR(VLOOKUP(H12,FIDELIZAÇÃO!G:H,2,0),"")</f>
        <v/>
      </c>
      <c r="J12" s="163">
        <f>IFERROR(VLOOKUP(A12,'03114902'!A:X,24,0),"")</f>
        <v>21</v>
      </c>
      <c r="K12" s="229" t="str">
        <f>VLOOKUP(A12,'03114902'!A:AM,39,0)</f>
        <v>FOZ DO IGUACU (21)</v>
      </c>
      <c r="L12" s="163" t="str">
        <f>VLOOKUP(A12,'03114902'!A:AN,40,0)</f>
        <v>[FOZ]: CENTRO (7) / PORTES (3) / CENTRO CIVICO (2) / YOLANDA (2) / PORTO MEIRA (2) / COHAPAR II (1) / JARDIM CANADA (1) / MARACANA (1) / PANORAMA (1) / MONJOLO (1)</v>
      </c>
      <c r="M12" s="177">
        <f>VLOOKUP(A12,'03114902'!A:V,22,0)</f>
        <v>66.05</v>
      </c>
      <c r="N12" s="178">
        <f>VLOOKUP(A12,'03114902'!A:W,23,0)</f>
        <v>0.33958333333333335</v>
      </c>
      <c r="O12" s="163">
        <f>VLOOKUP(A12,'03114902'!A:Y,25,0)</f>
        <v>51.83</v>
      </c>
      <c r="P12" s="163">
        <f>VLOOKUP(A12,'03114902'!A:Z,26,0)</f>
        <v>74.040000000000006</v>
      </c>
      <c r="Q12" s="163">
        <f>VLOOKUP(A12,'03114902'!A:AA,27,0)</f>
        <v>1347</v>
      </c>
      <c r="R12" s="163">
        <f>VLOOKUP(A12,'03114902'!A:AB,28,0)</f>
        <v>96.92</v>
      </c>
    </row>
    <row r="13" spans="1:18" s="1" customFormat="1">
      <c r="A13" s="208">
        <f t="shared" si="0"/>
        <v>11</v>
      </c>
      <c r="B13" s="164">
        <f>VLOOKUP(A13,'03114902'!A:G,7,0)</f>
        <v>46297</v>
      </c>
      <c r="C13" s="163" t="str">
        <f>VLOOKUP(A13,'03114902'!A:O,2,0)</f>
        <v>GIU0950</v>
      </c>
      <c r="D13" s="163">
        <f>VLOOKUP(A13,'03114902'!A:I,9,0)</f>
        <v>179805</v>
      </c>
      <c r="E13" s="163" t="str">
        <f>VLOOKUP(A13,'03114902'!A:L,12,0)</f>
        <v>Rota</v>
      </c>
      <c r="F13" s="163">
        <f>IFERROR(VLOOKUP(C13,FIDELIZAÇÃO!C:E,3,0),"")</f>
        <v>161</v>
      </c>
      <c r="G13" s="229" t="str">
        <f>IFERROR(VLOOKUP(F13,FIDELIZAÇÃO!E:F,2,0),"")</f>
        <v>ELSO VAZ DE OLIVEIRA</v>
      </c>
      <c r="H13" s="163">
        <f>IFERROR(VLOOKUP(C13,FIDELIZAÇÃO!C:G,5,0),"")</f>
        <v>161</v>
      </c>
      <c r="I13" s="265" t="str">
        <f>IFERROR(VLOOKUP(H13,FIDELIZAÇÃO!G:H,2,0),"")</f>
        <v>DAVID / 153 LUCAS</v>
      </c>
      <c r="J13" s="163">
        <f>IFERROR(VLOOKUP(A13,'03114902'!A:X,24,0),"")</f>
        <v>23</v>
      </c>
      <c r="K13" s="229" t="str">
        <f>VLOOKUP(A13,'03114902'!A:AM,39,0)</f>
        <v>MEDIANEIRA (13) / SERRANOPOLIS DO IGUACU (10)</v>
      </c>
      <c r="L13" s="163" t="str">
        <f>VLOOKUP(A13,'03114902'!A:AN,40,0)</f>
        <v>[MED]: CENTRO (5) / IPE (3) / CIDADE ALTA (2) / ALVORAVA (1) / CENTRO (1) / NAZARE (1) / [SER]: CENTRO (5) / FLOR DA SERRA (3) / JARDINOPOLIS (2)</v>
      </c>
      <c r="M13" s="177">
        <f>VLOOKUP(A13,'03114902'!A:V,22,0)</f>
        <v>154.16999999999999</v>
      </c>
      <c r="N13" s="178">
        <f>VLOOKUP(A13,'03114902'!A:W,23,0)</f>
        <v>0.43680555555555556</v>
      </c>
      <c r="O13" s="163">
        <f>VLOOKUP(A13,'03114902'!A:Y,25,0)</f>
        <v>156.29</v>
      </c>
      <c r="P13" s="163">
        <f>VLOOKUP(A13,'03114902'!A:Z,26,0)</f>
        <v>50.74</v>
      </c>
      <c r="Q13" s="163">
        <f>VLOOKUP(A13,'03114902'!A:AA,27,0)</f>
        <v>4082</v>
      </c>
      <c r="R13" s="163">
        <f>VLOOKUP(A13,'03114902'!A:AB,28,0)</f>
        <v>48.88</v>
      </c>
    </row>
    <row r="14" spans="1:18" s="1" customFormat="1">
      <c r="A14" s="208">
        <f t="shared" si="0"/>
        <v>12</v>
      </c>
      <c r="B14" s="164">
        <f>VLOOKUP(A14,'03114902'!A:G,7,0)</f>
        <v>46297</v>
      </c>
      <c r="C14" s="163" t="str">
        <f>VLOOKUP(A14,'03114902'!A:O,2,0)</f>
        <v>FEU8905</v>
      </c>
      <c r="D14" s="163">
        <f>VLOOKUP(A14,'03114902'!A:I,9,0)</f>
        <v>179806</v>
      </c>
      <c r="E14" s="163" t="str">
        <f>VLOOKUP(A14,'03114902'!A:L,12,0)</f>
        <v>Rota</v>
      </c>
      <c r="F14" s="163">
        <f>IFERROR(VLOOKUP(C14,FIDELIZAÇÃO!C:E,3,0),"")</f>
        <v>48</v>
      </c>
      <c r="G14" s="229" t="str">
        <f>IFERROR(VLOOKUP(F14,FIDELIZAÇÃO!E:F,2,0),"")</f>
        <v>SIDENEI GUERRA</v>
      </c>
      <c r="H14" s="163">
        <f>IFERROR(VLOOKUP(C14,FIDELIZAÇÃO!C:G,5,0),"")</f>
        <v>182</v>
      </c>
      <c r="I14" s="265" t="str">
        <f>IFERROR(VLOOKUP(H14,FIDELIZAÇÃO!G:H,2,0),"")</f>
        <v>PATRICK / 192 LUIS</v>
      </c>
      <c r="J14" s="163">
        <f>IFERROR(VLOOKUP(A14,'03114902'!A:X,24,0),"")</f>
        <v>24</v>
      </c>
      <c r="K14" s="229" t="str">
        <f>VLOOKUP(A14,'03114902'!A:AM,39,0)</f>
        <v>MATELANDIA (13) / CEU AZUL (6) / MEDIANEIRA (4) / VERA CRUZ DO OESTE (1)</v>
      </c>
      <c r="L14" s="163" t="str">
        <f>VLOOKUP(A14,'03114902'!A:AN,40,0)</f>
        <v>[MAT]: CENTRO (10) / LINHA ALEGRE (1) / CENTRO (1) / VILA NOVA (1) / [CEU]: CENTRO (2) / BOA VISTA (1) / NOVA UNIAO (1) / BAIRRO UNIAO (1) / CENTRO (1) / [MED]: CENTRO (2) / BELO HORIZONTE (2) / [VER]: CENTRO (1)</v>
      </c>
      <c r="M14" s="177">
        <f>VLOOKUP(A14,'03114902'!A:V,22,0)</f>
        <v>220.86</v>
      </c>
      <c r="N14" s="178">
        <f>VLOOKUP(A14,'03114902'!A:W,23,0)</f>
        <v>0.42638888888888887</v>
      </c>
      <c r="O14" s="163">
        <f>VLOOKUP(A14,'03114902'!A:Y,25,0)</f>
        <v>116.61</v>
      </c>
      <c r="P14" s="163">
        <f>VLOOKUP(A14,'03114902'!A:Z,26,0)</f>
        <v>37.86</v>
      </c>
      <c r="Q14" s="163">
        <f>VLOOKUP(A14,'03114902'!A:AA,27,0)</f>
        <v>3048</v>
      </c>
      <c r="R14" s="163">
        <f>VLOOKUP(A14,'03114902'!A:AB,28,0)</f>
        <v>36.5</v>
      </c>
    </row>
    <row r="15" spans="1:18" s="1" customFormat="1">
      <c r="A15" s="208">
        <f t="shared" si="0"/>
        <v>13</v>
      </c>
      <c r="B15" s="164">
        <f>VLOOKUP(A15,'03114902'!A:G,7,0)</f>
        <v>46297</v>
      </c>
      <c r="C15" s="163" t="str">
        <f>VLOOKUP(A15,'03114902'!A:O,2,0)</f>
        <v>FUE8714</v>
      </c>
      <c r="D15" s="163">
        <f>VLOOKUP(A15,'03114902'!A:I,9,0)</f>
        <v>179807</v>
      </c>
      <c r="E15" s="163" t="str">
        <f>VLOOKUP(A15,'03114902'!A:L,12,0)</f>
        <v>Rota</v>
      </c>
      <c r="F15" s="163">
        <f>IFERROR(VLOOKUP(C15,FIDELIZAÇÃO!C:E,3,0),"")</f>
        <v>14</v>
      </c>
      <c r="G15" s="229" t="str">
        <f>IFERROR(VLOOKUP(F15,FIDELIZAÇÃO!E:F,2,0),"")</f>
        <v>OSMAR ANTONIO CAMARGO</v>
      </c>
      <c r="H15" s="163">
        <f>IFERROR(VLOOKUP(C15,FIDELIZAÇÃO!C:G,5,0),"")</f>
        <v>269</v>
      </c>
      <c r="I15" s="265" t="str">
        <f>IFERROR(VLOOKUP(H15,FIDELIZAÇÃO!G:H,2,0),"")</f>
        <v>RAFAEL / 193 JOEMIR</v>
      </c>
      <c r="J15" s="163">
        <f>IFERROR(VLOOKUP(A15,'03114902'!A:X,24,0),"")</f>
        <v>18</v>
      </c>
      <c r="K15" s="229" t="str">
        <f>VLOOKUP(A15,'03114902'!A:AM,39,0)</f>
        <v>MEDIANEIRA (13) / MISSAL (2) / SAO MIGUEL DO IGUACU (2) / SANTA TEREZINHA DE ITAIPU (1)</v>
      </c>
      <c r="L15" s="163" t="str">
        <f>VLOOKUP(A15,'03114902'!A:AN,40,0)</f>
        <v>[MED]: ITAIPU (3) / SAO CRISTOVAO (3) / CENTRO (2) / JARDIM IRENE (1) / AREA RURAL MEDIANEIRA (1) / AREA RURAL MARALUCIA (1) / BOM JESUS (1) / PARQUE INDEPENDENCIA (1) / [MIS]: CENTRO (1) / PORTAO DO OCOI (1) / [SAO]: CENTRO (1) / SAO JORGE (1) / [SAN]: CENTRO (1)</v>
      </c>
      <c r="M15" s="177">
        <f>VLOOKUP(A15,'03114902'!A:V,22,0)</f>
        <v>174.97</v>
      </c>
      <c r="N15" s="178">
        <f>VLOOKUP(A15,'03114902'!A:W,23,0)</f>
        <v>0.43125000000000002</v>
      </c>
      <c r="O15" s="163">
        <f>VLOOKUP(A15,'03114902'!A:Y,25,0)</f>
        <v>134.82</v>
      </c>
      <c r="P15" s="163">
        <f>VLOOKUP(A15,'03114902'!A:Z,26,0)</f>
        <v>43.77</v>
      </c>
      <c r="Q15" s="163">
        <f>VLOOKUP(A15,'03114902'!A:AA,27,0)</f>
        <v>3578</v>
      </c>
      <c r="R15" s="163">
        <f>VLOOKUP(A15,'03114902'!A:AB,28,0)</f>
        <v>42.84</v>
      </c>
    </row>
    <row r="16" spans="1:18" s="1" customFormat="1">
      <c r="A16" s="208">
        <f t="shared" si="0"/>
        <v>14</v>
      </c>
      <c r="B16" s="164">
        <f>VLOOKUP(A16,'03114902'!A:G,7,0)</f>
        <v>46297</v>
      </c>
      <c r="C16" s="163" t="str">
        <f>VLOOKUP(A16,'03114902'!A:O,2,0)</f>
        <v>GAU0G73</v>
      </c>
      <c r="D16" s="163">
        <f>VLOOKUP(A16,'03114902'!A:I,9,0)</f>
        <v>179809</v>
      </c>
      <c r="E16" s="163" t="str">
        <f>VLOOKUP(A16,'03114902'!A:L,12,0)</f>
        <v>Rota</v>
      </c>
      <c r="F16" s="163">
        <f>IFERROR(VLOOKUP(C16,FIDELIZAÇÃO!C:E,3,0),"")</f>
        <v>86</v>
      </c>
      <c r="G16" s="229" t="str">
        <f>IFERROR(VLOOKUP(F16,FIDELIZAÇÃO!E:F,2,0),"")</f>
        <v>LUCAS DA CRUZ SALOMAO</v>
      </c>
      <c r="H16" s="163">
        <f>IFERROR(VLOOKUP(C16,FIDELIZAÇÃO!C:G,5,0),"")</f>
        <v>162</v>
      </c>
      <c r="I16" s="229" t="str">
        <f>IFERROR(VLOOKUP(H16,FIDELIZAÇÃO!G:H,2,0),"")</f>
        <v>EDUARDO EUZEBIO DOS SANTOS</v>
      </c>
      <c r="J16" s="163">
        <f>IFERROR(VLOOKUP(A16,'03114902'!A:X,24,0),"")</f>
        <v>13</v>
      </c>
      <c r="K16" s="229" t="str">
        <f>VLOOKUP(A16,'03114902'!A:AM,39,0)</f>
        <v>FOZ DO IGUACU (13)</v>
      </c>
      <c r="L16" s="163" t="str">
        <f>VLOOKUP(A16,'03114902'!A:AN,40,0)</f>
        <v>[FOZ]: CENTRO (12) / VILA YOLANDA (1)</v>
      </c>
      <c r="M16" s="177">
        <f>VLOOKUP(A16,'03114902'!A:V,22,0)</f>
        <v>35.1</v>
      </c>
      <c r="N16" s="178">
        <f>VLOOKUP(A16,'03114902'!A:W,23,0)</f>
        <v>0.34027777777777779</v>
      </c>
      <c r="O16" s="163">
        <f>VLOOKUP(A16,'03114902'!A:Y,25,0)</f>
        <v>243.75</v>
      </c>
      <c r="P16" s="163">
        <f>VLOOKUP(A16,'03114902'!A:Z,26,0)</f>
        <v>96.72</v>
      </c>
      <c r="Q16" s="163">
        <f>VLOOKUP(A16,'03114902'!A:AA,27,0)</f>
        <v>5953</v>
      </c>
      <c r="R16" s="163">
        <f>VLOOKUP(A16,'03114902'!A:AB,28,0)</f>
        <v>79.16</v>
      </c>
    </row>
    <row r="17" spans="1:18" s="1" customFormat="1">
      <c r="A17" s="208">
        <f t="shared" si="0"/>
        <v>15</v>
      </c>
      <c r="B17" s="164">
        <f>VLOOKUP(A17,'03114902'!A:G,7,0)</f>
        <v>46297</v>
      </c>
      <c r="C17" s="163" t="str">
        <f>VLOOKUP(A17,'03114902'!A:O,2,0)</f>
        <v>QJU2428</v>
      </c>
      <c r="D17" s="163">
        <f>VLOOKUP(A17,'03114902'!A:I,9,0)</f>
        <v>179810</v>
      </c>
      <c r="E17" s="163" t="str">
        <f>VLOOKUP(A17,'03114902'!A:L,12,0)</f>
        <v>Rota</v>
      </c>
      <c r="F17" s="163">
        <f>IFERROR(VLOOKUP(C17,FIDELIZAÇÃO!C:E,3,0),"")</f>
        <v>2</v>
      </c>
      <c r="G17" s="229" t="str">
        <f>IFERROR(VLOOKUP(F17,FIDELIZAÇÃO!E:F,2,0),"")</f>
        <v>ADAIR DE ALMEIDA</v>
      </c>
      <c r="H17" s="163">
        <f>IFERROR(VLOOKUP(C17,FIDELIZAÇÃO!C:G,5,0),"")</f>
        <v>0</v>
      </c>
      <c r="I17" s="229" t="str">
        <f>IFERROR(VLOOKUP(H17,FIDELIZAÇÃO!G:H,2,0),"")</f>
        <v/>
      </c>
      <c r="J17" s="163">
        <f>IFERROR(VLOOKUP(A17,'03114902'!A:X,24,0),"")</f>
        <v>1</v>
      </c>
      <c r="K17" s="229" t="str">
        <f>VLOOKUP(A17,'03114902'!A:AM,39,0)</f>
        <v>MEDIANEIRA (1)</v>
      </c>
      <c r="L17" s="163" t="str">
        <f>VLOOKUP(A17,'03114902'!A:AN,40,0)</f>
        <v>[MED]: ITAIPU (1)</v>
      </c>
      <c r="M17" s="177">
        <f>VLOOKUP(A17,'03114902'!A:V,22,0)</f>
        <v>100.54</v>
      </c>
      <c r="N17" s="178">
        <f>VLOOKUP(A17,'03114902'!A:W,23,0)</f>
        <v>0.25138888888888888</v>
      </c>
      <c r="O17" s="163">
        <f>VLOOKUP(A17,'03114902'!A:Y,25,0)</f>
        <v>367.82</v>
      </c>
      <c r="P17" s="163">
        <f>VLOOKUP(A17,'03114902'!A:Z,26,0)</f>
        <v>97.3</v>
      </c>
      <c r="Q17" s="163">
        <f>VLOOKUP(A17,'03114902'!A:AA,27,0)</f>
        <v>8856</v>
      </c>
      <c r="R17" s="163">
        <f>VLOOKUP(A17,'03114902'!A:AB,28,0)</f>
        <v>70.62</v>
      </c>
    </row>
    <row r="18" spans="1:18" s="209" customFormat="1">
      <c r="A18" s="208">
        <f t="shared" si="0"/>
        <v>16</v>
      </c>
      <c r="B18" s="156">
        <f>VLOOKUP(A18,'03114902'!A:G,7,0)</f>
        <v>46297</v>
      </c>
      <c r="C18" s="157" t="str">
        <f>VLOOKUP(A18,'03114902'!A:O,2,0)</f>
        <v>FCA8H37</v>
      </c>
      <c r="D18" s="157">
        <f>VLOOKUP(A18,'03114902'!A:I,9,0)</f>
        <v>179811</v>
      </c>
      <c r="E18" s="157" t="str">
        <f>VLOOKUP(A18,'03114902'!A:L,12,0)</f>
        <v>Rota</v>
      </c>
      <c r="F18" s="157">
        <f>IFERROR(VLOOKUP(C18,FIDELIZAÇÃO!C:E,3,0),"")</f>
        <v>90</v>
      </c>
      <c r="G18" s="225" t="str">
        <f>IFERROR(VLOOKUP(F18,FIDELIZAÇÃO!E:F,2,0),"")</f>
        <v>KEBERSON PAULO TROIAN</v>
      </c>
      <c r="H18" s="157">
        <f>IFERROR(VLOOKUP(C18,FIDELIZAÇÃO!C:G,5,0),"")</f>
        <v>296</v>
      </c>
      <c r="I18" s="266" t="str">
        <f>IFERROR(VLOOKUP(H18,FIDELIZAÇÃO!G:H,2,0),"")</f>
        <v>CLAUDIO / 190 JONATHAN</v>
      </c>
      <c r="J18" s="157">
        <f>IFERROR(VLOOKUP(A18,'03114902'!A:X,24,0),"")</f>
        <v>14</v>
      </c>
      <c r="K18" s="225" t="str">
        <f>VLOOKUP(A18,'03114902'!A:AM,39,0)</f>
        <v>FOZ DO IGUACU (7) / SANTA TEREZINHA DE ITAIPU (5) / MEDIANEIRA (1) / SAO MIGUEL DO IGUACU (1)</v>
      </c>
      <c r="L18" s="157" t="str">
        <f>VLOOKUP(A18,'03114902'!A:AN,40,0)</f>
        <v>[FOZ]: TRES LAGOAS (4) / CENTRO (1) / JARDIM AURORA (1) / TRES BANDEIRAS (1) / [SAN]: CENTRO (3) / AREA INDUSTRIAL (1) / PARQUE DOS ESTADOS (1) / [MED]: ITAIPU (1) / [SAO]: SANTA ROSA DO OCOY (1)</v>
      </c>
      <c r="M18" s="223">
        <f>VLOOKUP(A18,'03114902'!A:V,22,0)</f>
        <v>138.09</v>
      </c>
      <c r="N18" s="224">
        <f>VLOOKUP(A18,'03114902'!A:W,23,0)</f>
        <v>0.41805555555555557</v>
      </c>
      <c r="O18" s="157">
        <f>VLOOKUP(A18,'03114902'!A:Y,25,0)</f>
        <v>244.93</v>
      </c>
      <c r="P18" s="157">
        <f>VLOOKUP(A18,'03114902'!A:Z,26,0)</f>
        <v>79.52</v>
      </c>
      <c r="Q18" s="157">
        <f>VLOOKUP(A18,'03114902'!A:AA,27,0)</f>
        <v>6158</v>
      </c>
      <c r="R18" s="157">
        <f>VLOOKUP(A18,'03114902'!A:AB,28,0)</f>
        <v>73.739999999999995</v>
      </c>
    </row>
    <row r="19" spans="1:18" s="209" customFormat="1">
      <c r="A19" s="208">
        <f t="shared" si="0"/>
        <v>17</v>
      </c>
      <c r="B19" s="156">
        <f>VLOOKUP(A19,'03114902'!A:G,7,0)</f>
        <v>46297</v>
      </c>
      <c r="C19" s="157" t="str">
        <f>VLOOKUP(A19,'03114902'!A:O,2,0)</f>
        <v>RKW7G77</v>
      </c>
      <c r="D19" s="157">
        <f>VLOOKUP(A19,'03114902'!A:I,9,0)</f>
        <v>179812</v>
      </c>
      <c r="E19" s="157" t="str">
        <f>VLOOKUP(A19,'03114902'!A:L,12,0)</f>
        <v>Rota</v>
      </c>
      <c r="F19" s="157">
        <f>IFERROR(VLOOKUP(C19,FIDELIZAÇÃO!C:E,3,0),"")</f>
        <v>208</v>
      </c>
      <c r="G19" s="225" t="str">
        <f>IFERROR(VLOOKUP(F19,FIDELIZAÇÃO!E:F,2,0),"")</f>
        <v>MAICON CARVALHO</v>
      </c>
      <c r="H19" s="157">
        <f>IFERROR(VLOOKUP(C19,FIDELIZAÇÃO!C:G,5,0),"")</f>
        <v>277</v>
      </c>
      <c r="I19" s="266" t="str">
        <f>IFERROR(VLOOKUP(H19,FIDELIZAÇÃO!G:H,2,0),"")</f>
        <v>PEDRO / 149 DIEGO</v>
      </c>
      <c r="J19" s="157">
        <f>IFERROR(VLOOKUP(A19,'03114902'!A:X,24,0),"")</f>
        <v>25</v>
      </c>
      <c r="K19" s="225" t="str">
        <f>VLOOKUP(A19,'03114902'!A:AM,39,0)</f>
        <v>FOZ DO IGUACU (24) / SANTA TEREZINHA DE ITAIPU (1)</v>
      </c>
      <c r="L19" s="157" t="str">
        <f>VLOOKUP(A19,'03114902'!A:AN,40,0)</f>
        <v>[FOZ]: MORUMBI (11) / CAMPOS DO IGUACU (5) / PORTAL DA FOZ (2) / PARQUE RESIDENCIAL MORUMBI II (1) / PARQUE RESIDENCIAL MORUMBI III (1) / CENTRO CIVICO (1) / PARQUE MORUMBI II (1) / PORTAL (1) / AREA RURAL DE FOZ DO IGUACU (1) / [SAN]: CENTRO (1)</v>
      </c>
      <c r="M19" s="223">
        <f>VLOOKUP(A19,'03114902'!A:V,22,0)</f>
        <v>41.62</v>
      </c>
      <c r="N19" s="224">
        <f>VLOOKUP(A19,'03114902'!A:W,23,0)</f>
        <v>0.42916666666666664</v>
      </c>
      <c r="O19" s="157">
        <f>VLOOKUP(A19,'03114902'!A:Y,25,0)</f>
        <v>288.27</v>
      </c>
      <c r="P19" s="157">
        <f>VLOOKUP(A19,'03114902'!A:Z,26,0)</f>
        <v>68.63</v>
      </c>
      <c r="Q19" s="157">
        <f>VLOOKUP(A19,'03114902'!A:AA,27,0)</f>
        <v>7443</v>
      </c>
      <c r="R19" s="157">
        <f>VLOOKUP(A19,'03114902'!A:AB,28,0)</f>
        <v>58.84</v>
      </c>
    </row>
    <row r="20" spans="1:18" s="209" customFormat="1">
      <c r="A20" s="208">
        <f t="shared" si="0"/>
        <v>18</v>
      </c>
      <c r="B20" s="156">
        <f>VLOOKUP(A20,'03114902'!A:G,7,0)</f>
        <v>46297</v>
      </c>
      <c r="C20" s="157" t="str">
        <f>VLOOKUP(A20,'03114902'!A:O,2,0)</f>
        <v>GHK2F66</v>
      </c>
      <c r="D20" s="157">
        <f>VLOOKUP(A20,'03114902'!A:I,9,0)</f>
        <v>179813</v>
      </c>
      <c r="E20" s="157" t="str">
        <f>VLOOKUP(A20,'03114902'!A:L,12,0)</f>
        <v>Rota</v>
      </c>
      <c r="F20" s="157">
        <f>IFERROR(VLOOKUP(C20,FIDELIZAÇÃO!C:E,3,0),"")</f>
        <v>286</v>
      </c>
      <c r="G20" s="225" t="str">
        <f>IFERROR(VLOOKUP(F20,FIDELIZAÇÃO!E:F,2,0),"")</f>
        <v>MATHEUS LEONARDO DE SESARO</v>
      </c>
      <c r="H20" s="157">
        <f>IFERROR(VLOOKUP(C20,FIDELIZAÇÃO!C:G,5,0),"")</f>
        <v>10</v>
      </c>
      <c r="I20" s="266" t="str">
        <f>IFERROR(VLOOKUP(H20,FIDELIZAÇÃO!G:H,2,0),"")</f>
        <v>IGOR / 185 EDER</v>
      </c>
      <c r="J20" s="157">
        <f>IFERROR(VLOOKUP(A20,'03114902'!A:X,24,0),"")</f>
        <v>18</v>
      </c>
      <c r="K20" s="225" t="str">
        <f>VLOOKUP(A20,'03114902'!A:AM,39,0)</f>
        <v>FOZ DO IGUACU (18)</v>
      </c>
      <c r="L20" s="157" t="str">
        <f>VLOOKUP(A20,'03114902'!A:AN,40,0)</f>
        <v>[FOZ]: PORTES (4) / CENTRO (2) / ITAIPU A (2) / MONJOLO (2) / JARDIM CENTRAL (1) / JARDIM JUPIRA (1) / JARDIM POLO CENTRO (1) / VILA BRASILIA (1) / VILA PORTES (1) / CENTRO CIVICO (1) / POLO CENTRO (1) / KLP (1)</v>
      </c>
      <c r="M20" s="223">
        <f>VLOOKUP(A20,'03114902'!A:V,22,0)</f>
        <v>52.1</v>
      </c>
      <c r="N20" s="224">
        <f>VLOOKUP(A20,'03114902'!A:W,23,0)</f>
        <v>0.39930555555555558</v>
      </c>
      <c r="O20" s="157">
        <f>VLOOKUP(A20,'03114902'!A:Y,25,0)</f>
        <v>214.01</v>
      </c>
      <c r="P20" s="157">
        <f>VLOOKUP(A20,'03114902'!A:Z,26,0)</f>
        <v>69.48</v>
      </c>
      <c r="Q20" s="157">
        <f>VLOOKUP(A20,'03114902'!A:AA,27,0)</f>
        <v>5121</v>
      </c>
      <c r="R20" s="157">
        <f>VLOOKUP(A20,'03114902'!A:AB,28,0)</f>
        <v>64.260000000000005</v>
      </c>
    </row>
    <row r="21" spans="1:18" s="209" customFormat="1">
      <c r="A21" s="208">
        <f t="shared" si="0"/>
        <v>19</v>
      </c>
      <c r="B21" s="156">
        <f>VLOOKUP(A21,'03114902'!A:G,7,0)</f>
        <v>46297</v>
      </c>
      <c r="C21" s="157" t="str">
        <f>VLOOKUP(A21,'03114902'!A:O,2,0)</f>
        <v>QJT3668</v>
      </c>
      <c r="D21" s="157">
        <f>VLOOKUP(A21,'03114902'!A:I,9,0)</f>
        <v>179814</v>
      </c>
      <c r="E21" s="157" t="str">
        <f>VLOOKUP(A21,'03114902'!A:L,12,0)</f>
        <v>Rota</v>
      </c>
      <c r="F21" s="157">
        <f>IFERROR(VLOOKUP(C21,FIDELIZAÇÃO!C:E,3,0),"")</f>
        <v>294</v>
      </c>
      <c r="G21" s="225" t="str">
        <f>IFERROR(VLOOKUP(F21,FIDELIZAÇÃO!E:F,2,0),"")</f>
        <v>FERNANDO ALVES DE OLIVEIRA</v>
      </c>
      <c r="H21" s="157">
        <f>IFERROR(VLOOKUP(C21,FIDELIZAÇÃO!C:G,5,0),"")</f>
        <v>164</v>
      </c>
      <c r="I21" s="225" t="str">
        <f>IFERROR(VLOOKUP(H21,FIDELIZAÇÃO!G:H,2,0),"")</f>
        <v>FABIO SILVA DE LIMA</v>
      </c>
      <c r="J21" s="157">
        <f>IFERROR(VLOOKUP(A21,'03114902'!A:X,24,0),"")</f>
        <v>12</v>
      </c>
      <c r="K21" s="225" t="str">
        <f>VLOOKUP(A21,'03114902'!A:AM,39,0)</f>
        <v>FOZ DO IGUACU (12)</v>
      </c>
      <c r="L21" s="157" t="str">
        <f>VLOOKUP(A21,'03114902'!A:AN,40,0)</f>
        <v>[FOZ]: ITAIPU C (3) / CONJUNTO B (1) / VILA C NOVA (1) / JARDIM BELVEDERE I (1) / JARDIM ITAIPU (1) / PORTO BELO (1) / LANCASTER (1) / IPE (1) / KLP (1) / POLO UNIVERSITARIO (1)</v>
      </c>
      <c r="M21" s="223">
        <f>VLOOKUP(A21,'03114902'!A:V,22,0)</f>
        <v>47.86</v>
      </c>
      <c r="N21" s="224">
        <f>VLOOKUP(A21,'03114902'!A:W,23,0)</f>
        <v>0.39583333333333331</v>
      </c>
      <c r="O21" s="157">
        <f>VLOOKUP(A21,'03114902'!A:Y,25,0)</f>
        <v>305.97000000000003</v>
      </c>
      <c r="P21" s="157">
        <f>VLOOKUP(A21,'03114902'!A:Z,26,0)</f>
        <v>80.94</v>
      </c>
      <c r="Q21" s="157">
        <f>VLOOKUP(A21,'03114902'!A:AA,27,0)</f>
        <v>7892</v>
      </c>
      <c r="R21" s="157">
        <f>VLOOKUP(A21,'03114902'!A:AB,28,0)</f>
        <v>62.94</v>
      </c>
    </row>
    <row r="22" spans="1:18" s="209" customFormat="1">
      <c r="A22" s="208">
        <f t="shared" si="0"/>
        <v>20</v>
      </c>
      <c r="B22" s="156">
        <f>VLOOKUP(A22,'03114902'!A:G,7,0)</f>
        <v>46297</v>
      </c>
      <c r="C22" s="157" t="str">
        <f>VLOOKUP(A22,'03114902'!A:O,2,0)</f>
        <v>UDI4C07</v>
      </c>
      <c r="D22" s="157">
        <f>VLOOKUP(A22,'03114902'!A:I,9,0)</f>
        <v>179815</v>
      </c>
      <c r="E22" s="157" t="str">
        <f>VLOOKUP(A22,'03114902'!A:L,12,0)</f>
        <v>Rota</v>
      </c>
      <c r="F22" s="157">
        <f>IFERROR(VLOOKUP(C22,FIDELIZAÇÃO!C:E,3,0),"")</f>
        <v>34</v>
      </c>
      <c r="G22" s="225" t="str">
        <f>IFERROR(VLOOKUP(F22,FIDELIZAÇÃO!E:F,2,0),"")</f>
        <v>ERIVALDO UMBERTO DOS SANTOS</v>
      </c>
      <c r="H22" s="157">
        <f>IFERROR(VLOOKUP(C22,FIDELIZAÇÃO!C:G,5,0),"")</f>
        <v>178</v>
      </c>
      <c r="I22" s="225" t="str">
        <f>IFERROR(VLOOKUP(H22,FIDELIZAÇÃO!G:H,2,0),"")</f>
        <v>JONAS ALVES DA SILVA</v>
      </c>
      <c r="J22" s="157">
        <f>IFERROR(VLOOKUP(A22,'03114902'!A:X,24,0),"")</f>
        <v>16</v>
      </c>
      <c r="K22" s="225" t="str">
        <f>VLOOKUP(A22,'03114902'!A:AM,39,0)</f>
        <v>FOZ DO IGUACU (16)</v>
      </c>
      <c r="L22" s="157" t="str">
        <f>VLOOKUP(A22,'03114902'!A:AN,40,0)</f>
        <v>[FOZ]: PANORAMA (5) / YOLANDA (2) / CR 1 (1) / JARDIM POLO CENTRO (1) / JARDIM SAO PAULO II (1) / LOTEAMENTO MATA VERDE (1) / MARACANA (1) / PARQUE PRESIDENTE I (1) / JD.SAO LUIS (1) / SAO ROQUE (1) / MORUMBI (1)</v>
      </c>
      <c r="M22" s="223">
        <f>VLOOKUP(A22,'03114902'!A:V,22,0)</f>
        <v>40.94</v>
      </c>
      <c r="N22" s="224">
        <f>VLOOKUP(A22,'03114902'!A:W,23,0)</f>
        <v>0.43263888888888891</v>
      </c>
      <c r="O22" s="157">
        <f>VLOOKUP(A22,'03114902'!A:Y,25,0)</f>
        <v>309.75</v>
      </c>
      <c r="P22" s="157">
        <f>VLOOKUP(A22,'03114902'!A:Z,26,0)</f>
        <v>73.75</v>
      </c>
      <c r="Q22" s="157">
        <f>VLOOKUP(A22,'03114902'!A:AA,27,0)</f>
        <v>7515</v>
      </c>
      <c r="R22" s="157">
        <f>VLOOKUP(A22,'03114902'!A:AB,28,0)</f>
        <v>59.41</v>
      </c>
    </row>
    <row r="23" spans="1:18" s="209" customFormat="1">
      <c r="A23" s="208">
        <f t="shared" si="0"/>
        <v>21</v>
      </c>
      <c r="B23" s="156">
        <f>VLOOKUP(A23,'03114902'!A:G,7,0)</f>
        <v>46297</v>
      </c>
      <c r="C23" s="157" t="str">
        <f>VLOOKUP(A23,'03114902'!A:O,2,0)</f>
        <v>GKF6739</v>
      </c>
      <c r="D23" s="157">
        <f>VLOOKUP(A23,'03114902'!A:I,9,0)</f>
        <v>179816</v>
      </c>
      <c r="E23" s="157" t="str">
        <f>VLOOKUP(A23,'03114902'!A:L,12,0)</f>
        <v>Rota</v>
      </c>
      <c r="F23" s="157">
        <f>IFERROR(VLOOKUP(C23,FIDELIZAÇÃO!C:E,3,0),"")</f>
        <v>285</v>
      </c>
      <c r="G23" s="225" t="str">
        <f>IFERROR(VLOOKUP(F23,FIDELIZAÇÃO!E:F,2,0),"")</f>
        <v>FELIPE MORAIS DE SOUZA</v>
      </c>
      <c r="H23" s="157">
        <f>IFERROR(VLOOKUP(C23,FIDELIZAÇÃO!C:G,5,0),"")</f>
        <v>189</v>
      </c>
      <c r="I23" s="266" t="str">
        <f>IFERROR(VLOOKUP(H23,FIDELIZAÇÃO!G:H,2,0),"")</f>
        <v>ODIMAR / 187 ANDERSON</v>
      </c>
      <c r="J23" s="157">
        <f>IFERROR(VLOOKUP(A23,'03114902'!A:X,24,0),"")</f>
        <v>18</v>
      </c>
      <c r="K23" s="225" t="str">
        <f>VLOOKUP(A23,'03114902'!A:AM,39,0)</f>
        <v>FOZ DO IGUACU (18)</v>
      </c>
      <c r="L23" s="157" t="str">
        <f>VLOOKUP(A23,'03114902'!A:AN,40,0)</f>
        <v>[FOZ]: VILA YOLANDA (5) / TRES FRONTEIRAS (3) / PORTO MEIRA (3) / MATA VERDE (2) / YOLANDA (2) / PARQUE OURO VERDE (1) / VILA ADRIANA (1) / BOURBON (1)</v>
      </c>
      <c r="M23" s="223">
        <f>VLOOKUP(A23,'03114902'!A:V,22,0)</f>
        <v>56.9</v>
      </c>
      <c r="N23" s="224">
        <f>VLOOKUP(A23,'03114902'!A:W,23,0)</f>
        <v>0.43611111111111112</v>
      </c>
      <c r="O23" s="157">
        <f>VLOOKUP(A23,'03114902'!A:Y,25,0)</f>
        <v>275.61</v>
      </c>
      <c r="P23" s="157">
        <f>VLOOKUP(A23,'03114902'!A:Z,26,0)</f>
        <v>89.48</v>
      </c>
      <c r="Q23" s="157">
        <f>VLOOKUP(A23,'03114902'!A:AA,27,0)</f>
        <v>6808</v>
      </c>
      <c r="R23" s="157">
        <f>VLOOKUP(A23,'03114902'!A:AB,28,0)</f>
        <v>81.510000000000005</v>
      </c>
    </row>
    <row r="24" spans="1:18" s="209" customFormat="1">
      <c r="A24" s="208">
        <f t="shared" si="0"/>
        <v>22</v>
      </c>
      <c r="B24" s="156">
        <f>VLOOKUP(A24,'03114902'!A:G,7,0)</f>
        <v>46297</v>
      </c>
      <c r="C24" s="157" t="str">
        <f>VLOOKUP(A24,'03114902'!A:O,2,0)</f>
        <v>QJU2F48</v>
      </c>
      <c r="D24" s="157">
        <f>VLOOKUP(A24,'03114902'!A:I,9,0)</f>
        <v>179817</v>
      </c>
      <c r="E24" s="157" t="str">
        <f>VLOOKUP(A24,'03114902'!A:L,12,0)</f>
        <v>Rota</v>
      </c>
      <c r="F24" s="157">
        <f>IFERROR(VLOOKUP(C24,FIDELIZAÇÃO!C:E,3,0),"")</f>
        <v>107</v>
      </c>
      <c r="G24" s="225" t="str">
        <f>IFERROR(VLOOKUP(F24,FIDELIZAÇÃO!E:F,2,0),"")</f>
        <v>DEOCLIDES RODRIGUES SILVA DA CRUZ</v>
      </c>
      <c r="H24" s="157">
        <f>IFERROR(VLOOKUP(C24,FIDELIZAÇÃO!C:G,5,0),"")</f>
        <v>163</v>
      </c>
      <c r="I24" s="225" t="str">
        <f>IFERROR(VLOOKUP(H24,FIDELIZAÇÃO!G:H,2,0),"")</f>
        <v>WELLINTON DO NASCIMENTO STEIN</v>
      </c>
      <c r="J24" s="157">
        <f>IFERROR(VLOOKUP(A24,'03114902'!A:X,24,0),"")</f>
        <v>23</v>
      </c>
      <c r="K24" s="225" t="str">
        <f>VLOOKUP(A24,'03114902'!A:AM,39,0)</f>
        <v>FOZ DO IGUACU (21) / SANTA TEREZINHA DE ITAIPU (2)</v>
      </c>
      <c r="L24" s="157" t="str">
        <f>VLOOKUP(A24,'03114902'!A:AN,40,0)</f>
        <v>[FOZ]: TRES LAGOAS (9) / CENTRO CIVICO (3) / CENTRO (1) / CONJUNTO RESIDENCIAL SOL DE MA (1) / JARDIM NACIONAL (1) / JARDIM SANTA RITA (1) / LOTEAMENTO RESIDENCIAL LAGOA V (1) / LOTEAMENTO WITT (1) / PARQUE PRESIDENTE II (1) / LOTEAMENTO JARDIM MADRE TEREZA (1) / LOTEAMENTO RESIDENCIAL LAGOA DOURADA (1) / [SAN]: CENTRO (1) / PARQUE DOS ESTADOS (1)</v>
      </c>
      <c r="M24" s="223">
        <f>VLOOKUP(A24,'03114902'!A:V,22,0)</f>
        <v>56.04</v>
      </c>
      <c r="N24" s="224">
        <f>VLOOKUP(A24,'03114902'!A:W,23,0)</f>
        <v>0.40763888888888888</v>
      </c>
      <c r="O24" s="157">
        <f>VLOOKUP(A24,'03114902'!A:Y,25,0)</f>
        <v>197.92</v>
      </c>
      <c r="P24" s="157">
        <f>VLOOKUP(A24,'03114902'!A:Z,26,0)</f>
        <v>52.35</v>
      </c>
      <c r="Q24" s="157">
        <f>VLOOKUP(A24,'03114902'!A:AA,27,0)</f>
        <v>5102</v>
      </c>
      <c r="R24" s="157">
        <f>VLOOKUP(A24,'03114902'!A:AB,28,0)</f>
        <v>40.68</v>
      </c>
    </row>
    <row r="25" spans="1:18" s="209" customFormat="1">
      <c r="A25" s="208">
        <f t="shared" si="0"/>
        <v>23</v>
      </c>
      <c r="B25" s="156">
        <f>VLOOKUP(A25,'03114902'!A:G,7,0)</f>
        <v>46297</v>
      </c>
      <c r="C25" s="157" t="str">
        <f>VLOOKUP(A25,'03114902'!A:O,2,0)</f>
        <v>QJU2248</v>
      </c>
      <c r="D25" s="157">
        <f>VLOOKUP(A25,'03114902'!A:I,9,0)</f>
        <v>179819</v>
      </c>
      <c r="E25" s="157" t="str">
        <f>VLOOKUP(A25,'03114902'!A:L,12,0)</f>
        <v>Rota</v>
      </c>
      <c r="F25" s="157">
        <f>IFERROR(VLOOKUP(C25,FIDELIZAÇÃO!C:E,3,0),"")</f>
        <v>304</v>
      </c>
      <c r="G25" s="225" t="str">
        <f>IFERROR(VLOOKUP(F25,FIDELIZAÇÃO!E:F,2,0),"")</f>
        <v xml:space="preserve">DIEGO SANTIN </v>
      </c>
      <c r="H25" s="157">
        <f>IFERROR(VLOOKUP(C25,FIDELIZAÇÃO!C:G,5,0),"")</f>
        <v>183</v>
      </c>
      <c r="I25" s="225" t="str">
        <f>IFERROR(VLOOKUP(H25,FIDELIZAÇÃO!G:H,2,0),"")</f>
        <v>ADRIEL EDUARDO DA SILVA FERREIRA</v>
      </c>
      <c r="J25" s="157">
        <f>IFERROR(VLOOKUP(A25,'03114902'!A:X,24,0),"")</f>
        <v>21</v>
      </c>
      <c r="K25" s="225" t="str">
        <f>VLOOKUP(A25,'03114902'!A:AM,39,0)</f>
        <v>FOZ DO IGUACU (21)</v>
      </c>
      <c r="L25" s="157" t="str">
        <f>VLOOKUP(A25,'03114902'!A:AN,40,0)</f>
        <v>[FOZ]: CARIMA (10) / LOTEAMENTO MATA VERDE (1) / PARQUE PRESIDENTE (1) / VILA CARIMA (1) / JARDIM MORENITA LL (1) / IMOVEL CATARATAS - GLEBA II (1) / REMANSO GRANDE (1) / ITAIPU A (1) / YOLANDA (1) / REMANSO (1) / PORTO MEIRA (1) / SAO ROQUE (1)</v>
      </c>
      <c r="M25" s="223">
        <f>VLOOKUP(A25,'03114902'!A:V,22,0)</f>
        <v>59.59</v>
      </c>
      <c r="N25" s="224">
        <f>VLOOKUP(A25,'03114902'!A:W,23,0)</f>
        <v>0.42499999999999999</v>
      </c>
      <c r="O25" s="157">
        <f>VLOOKUP(A25,'03114902'!A:Y,25,0)</f>
        <v>194.91</v>
      </c>
      <c r="P25" s="157">
        <f>VLOOKUP(A25,'03114902'!A:Z,26,0)</f>
        <v>51.56</v>
      </c>
      <c r="Q25" s="157">
        <f>VLOOKUP(A25,'03114902'!A:AA,27,0)</f>
        <v>5189</v>
      </c>
      <c r="R25" s="157">
        <f>VLOOKUP(A25,'03114902'!A:AB,28,0)</f>
        <v>41.38</v>
      </c>
    </row>
    <row r="26" spans="1:18" s="209" customFormat="1">
      <c r="A26" s="208">
        <f t="shared" si="0"/>
        <v>24</v>
      </c>
      <c r="B26" s="156">
        <f>VLOOKUP(A26,'03114902'!A:G,7,0)</f>
        <v>0</v>
      </c>
      <c r="C26" s="157" t="str">
        <f>VLOOKUP(A26,'03114902'!A:O,2,0)</f>
        <v/>
      </c>
      <c r="D26" s="157">
        <f>VLOOKUP(A26,'03114902'!A:I,9,0)</f>
        <v>0</v>
      </c>
      <c r="E26" s="157">
        <f>VLOOKUP(A26,'03114902'!A:L,12,0)</f>
        <v>0</v>
      </c>
      <c r="F26" s="157" t="str">
        <f>IFERROR(VLOOKUP(C26,FIDELIZAÇÃO!C:E,3,0),"")</f>
        <v/>
      </c>
      <c r="G26" s="225" t="str">
        <f>IFERROR(VLOOKUP(F26,FIDELIZAÇÃO!E:F,2,0),"")</f>
        <v/>
      </c>
      <c r="H26" s="157" t="str">
        <f>IFERROR(VLOOKUP(C26,FIDELIZAÇÃO!C:G,5,0),"")</f>
        <v/>
      </c>
      <c r="I26" s="225" t="str">
        <f>IFERROR(VLOOKUP(H26,FIDELIZAÇÃO!G:H,2,0),"")</f>
        <v/>
      </c>
      <c r="J26" s="157">
        <f>IFERROR(VLOOKUP(A26,'03114902'!A:X,24,0),"")</f>
        <v>0</v>
      </c>
      <c r="K26" s="225">
        <f>VLOOKUP(A26,'03114902'!A:AM,39,0)</f>
        <v>0</v>
      </c>
      <c r="L26" s="157">
        <f>VLOOKUP(A26,'03114902'!A:AN,40,0)</f>
        <v>0</v>
      </c>
      <c r="M26" s="223">
        <f>VLOOKUP(A26,'03114902'!A:V,22,0)</f>
        <v>0</v>
      </c>
      <c r="N26" s="224">
        <f>VLOOKUP(A26,'03114902'!A:W,23,0)</f>
        <v>0</v>
      </c>
      <c r="O26" s="157">
        <f>VLOOKUP(A26,'03114902'!A:Y,25,0)</f>
        <v>0</v>
      </c>
      <c r="P26" s="157">
        <f>VLOOKUP(A26,'03114902'!A:Z,26,0)</f>
        <v>0</v>
      </c>
      <c r="Q26" s="157">
        <f>VLOOKUP(A26,'03114902'!A:AA,27,0)</f>
        <v>0</v>
      </c>
      <c r="R26" s="157">
        <f>VLOOKUP(A26,'03114902'!A:AB,28,0)</f>
        <v>0</v>
      </c>
    </row>
    <row r="27" spans="1:18" s="209" customFormat="1">
      <c r="A27" s="208">
        <f t="shared" si="0"/>
        <v>25</v>
      </c>
      <c r="B27" s="156">
        <f>VLOOKUP(A27,'03114902'!A:G,7,0)</f>
        <v>0</v>
      </c>
      <c r="C27" s="157" t="str">
        <f>VLOOKUP(A27,'03114902'!A:O,2,0)</f>
        <v/>
      </c>
      <c r="D27" s="157">
        <f>VLOOKUP(A27,'03114902'!A:I,9,0)</f>
        <v>0</v>
      </c>
      <c r="E27" s="157">
        <f>VLOOKUP(A27,'03114902'!A:L,12,0)</f>
        <v>0</v>
      </c>
      <c r="F27" s="157" t="str">
        <f>IFERROR(VLOOKUP(C27,FIDELIZAÇÃO!C:E,3,0),"")</f>
        <v/>
      </c>
      <c r="G27" s="225" t="str">
        <f>IFERROR(VLOOKUP(F27,FIDELIZAÇÃO!E:F,2,0),"")</f>
        <v/>
      </c>
      <c r="H27" s="157" t="str">
        <f>IFERROR(VLOOKUP(C27,FIDELIZAÇÃO!C:G,5,0),"")</f>
        <v/>
      </c>
      <c r="I27" s="225" t="str">
        <f>IFERROR(VLOOKUP(H27,FIDELIZAÇÃO!G:H,2,0),"")</f>
        <v/>
      </c>
      <c r="J27" s="157">
        <f>IFERROR(VLOOKUP(A27,'03114902'!A:X,24,0),"")</f>
        <v>0</v>
      </c>
      <c r="K27" s="225">
        <f>VLOOKUP(A27,'03114902'!A:AM,39,0)</f>
        <v>0</v>
      </c>
      <c r="L27" s="157">
        <f>VLOOKUP(A27,'03114902'!A:AN,40,0)</f>
        <v>0</v>
      </c>
      <c r="M27" s="223">
        <f>VLOOKUP(A27,'03114902'!A:V,22,0)</f>
        <v>0</v>
      </c>
      <c r="N27" s="224">
        <f>VLOOKUP(A27,'03114902'!A:W,23,0)</f>
        <v>0</v>
      </c>
      <c r="O27" s="157">
        <f>VLOOKUP(A27,'03114902'!A:Y,25,0)</f>
        <v>0</v>
      </c>
      <c r="P27" s="157">
        <f>VLOOKUP(A27,'03114902'!A:Z,26,0)</f>
        <v>0</v>
      </c>
      <c r="Q27" s="157">
        <f>VLOOKUP(A27,'03114902'!A:AA,27,0)</f>
        <v>0</v>
      </c>
      <c r="R27" s="157">
        <f>VLOOKUP(A27,'03114902'!A:AB,28,0)</f>
        <v>0</v>
      </c>
    </row>
    <row r="28" spans="1:18" s="209" customFormat="1">
      <c r="A28" s="208">
        <f t="shared" si="0"/>
        <v>26</v>
      </c>
      <c r="B28" s="156">
        <f>VLOOKUP(A28,'03114902'!A:G,7,0)</f>
        <v>0</v>
      </c>
      <c r="C28" s="157" t="str">
        <f>VLOOKUP(A28,'03114902'!A:O,2,0)</f>
        <v/>
      </c>
      <c r="D28" s="157">
        <f>VLOOKUP(A28,'03114902'!A:I,9,0)</f>
        <v>0</v>
      </c>
      <c r="E28" s="157">
        <f>VLOOKUP(A28,'03114902'!A:L,12,0)</f>
        <v>0</v>
      </c>
      <c r="F28" s="157" t="str">
        <f>IFERROR(VLOOKUP(C28,FIDELIZAÇÃO!C:E,3,0),"")</f>
        <v/>
      </c>
      <c r="G28" s="225" t="str">
        <f>IFERROR(VLOOKUP(F28,FIDELIZAÇÃO!E:F,2,0),"")</f>
        <v/>
      </c>
      <c r="H28" s="157" t="str">
        <f>IFERROR(VLOOKUP(C28,FIDELIZAÇÃO!C:G,5,0),"")</f>
        <v/>
      </c>
      <c r="I28" s="225" t="str">
        <f>IFERROR(VLOOKUP(H28,FIDELIZAÇÃO!G:H,2,0),"")</f>
        <v/>
      </c>
      <c r="J28" s="157">
        <f>IFERROR(VLOOKUP(A28,'03114902'!A:X,24,0),"")</f>
        <v>0</v>
      </c>
      <c r="K28" s="225">
        <f>VLOOKUP(A28,'03114902'!A:AM,39,0)</f>
        <v>0</v>
      </c>
      <c r="L28" s="157">
        <f>VLOOKUP(A28,'03114902'!A:AN,40,0)</f>
        <v>0</v>
      </c>
      <c r="M28" s="223">
        <f>VLOOKUP(A28,'03114902'!A:V,22,0)</f>
        <v>0</v>
      </c>
      <c r="N28" s="224">
        <f>VLOOKUP(A28,'03114902'!A:W,23,0)</f>
        <v>0</v>
      </c>
      <c r="O28" s="157">
        <f>VLOOKUP(A28,'03114902'!A:Y,25,0)</f>
        <v>0</v>
      </c>
      <c r="P28" s="157">
        <f>VLOOKUP(A28,'03114902'!A:Z,26,0)</f>
        <v>0</v>
      </c>
      <c r="Q28" s="157">
        <f>VLOOKUP(A28,'03114902'!A:AA,27,0)</f>
        <v>0</v>
      </c>
      <c r="R28" s="157">
        <f>VLOOKUP(A28,'03114902'!A:AB,28,0)</f>
        <v>0</v>
      </c>
    </row>
    <row r="29" spans="1:18" s="209" customFormat="1">
      <c r="A29" s="208">
        <f t="shared" si="0"/>
        <v>27</v>
      </c>
      <c r="B29" s="156">
        <f>VLOOKUP(A29,'03114902'!A:G,7,0)</f>
        <v>0</v>
      </c>
      <c r="C29" s="157" t="str">
        <f>VLOOKUP(A29,'03114902'!A:O,2,0)</f>
        <v/>
      </c>
      <c r="D29" s="157">
        <f>VLOOKUP(A29,'03114902'!A:I,9,0)</f>
        <v>0</v>
      </c>
      <c r="E29" s="157">
        <f>VLOOKUP(A29,'03114902'!A:L,12,0)</f>
        <v>0</v>
      </c>
      <c r="F29" s="157" t="str">
        <f>IFERROR(VLOOKUP(C29,FIDELIZAÇÃO!C:E,3,0),"")</f>
        <v/>
      </c>
      <c r="G29" s="225" t="str">
        <f>IFERROR(VLOOKUP(F29,FIDELIZAÇÃO!E:F,2,0),"")</f>
        <v/>
      </c>
      <c r="H29" s="157" t="str">
        <f>IFERROR(VLOOKUP(C29,FIDELIZAÇÃO!C:G,5,0),"")</f>
        <v/>
      </c>
      <c r="I29" s="225" t="str">
        <f>IFERROR(VLOOKUP(H29,FIDELIZAÇÃO!G:H,2,0),"")</f>
        <v/>
      </c>
      <c r="J29" s="157">
        <f>IFERROR(VLOOKUP(A29,'03114902'!A:X,24,0),"")</f>
        <v>0</v>
      </c>
      <c r="K29" s="225">
        <f>VLOOKUP(A29,'03114902'!A:AM,39,0)</f>
        <v>0</v>
      </c>
      <c r="L29" s="157">
        <f>VLOOKUP(A29,'03114902'!A:AN,40,0)</f>
        <v>0</v>
      </c>
      <c r="M29" s="223">
        <f>VLOOKUP(A29,'03114902'!A:V,22,0)</f>
        <v>0</v>
      </c>
      <c r="N29" s="224">
        <f>VLOOKUP(A29,'03114902'!A:W,23,0)</f>
        <v>0</v>
      </c>
      <c r="O29" s="157">
        <f>VLOOKUP(A29,'03114902'!A:Y,25,0)</f>
        <v>0</v>
      </c>
      <c r="P29" s="157">
        <f>VLOOKUP(A29,'03114902'!A:Z,26,0)</f>
        <v>0</v>
      </c>
      <c r="Q29" s="157">
        <f>VLOOKUP(A29,'03114902'!A:AA,27,0)</f>
        <v>0</v>
      </c>
      <c r="R29" s="157">
        <f>VLOOKUP(A29,'03114902'!A:AB,28,0)</f>
        <v>0</v>
      </c>
    </row>
    <row r="30" spans="1:18" s="209" customFormat="1">
      <c r="A30" s="208">
        <f t="shared" si="0"/>
        <v>28</v>
      </c>
      <c r="B30" s="156">
        <f>VLOOKUP(A30,'03114902'!A:G,7,0)</f>
        <v>0</v>
      </c>
      <c r="C30" s="157" t="str">
        <f>VLOOKUP(A30,'03114902'!A:O,2,0)</f>
        <v/>
      </c>
      <c r="D30" s="157">
        <f>VLOOKUP(A30,'03114902'!A:I,9,0)</f>
        <v>0</v>
      </c>
      <c r="E30" s="157">
        <f>VLOOKUP(A30,'03114902'!A:L,12,0)</f>
        <v>0</v>
      </c>
      <c r="F30" s="157" t="str">
        <f>IFERROR(VLOOKUP(C30,FIDELIZAÇÃO!C:E,3,0),"")</f>
        <v/>
      </c>
      <c r="G30" s="225" t="str">
        <f>IFERROR(VLOOKUP(F30,FIDELIZAÇÃO!E:F,2,0),"")</f>
        <v/>
      </c>
      <c r="H30" s="157" t="str">
        <f>IFERROR(VLOOKUP(C30,FIDELIZAÇÃO!C:G,5,0),"")</f>
        <v/>
      </c>
      <c r="I30" s="225" t="str">
        <f>IFERROR(VLOOKUP(H30,FIDELIZAÇÃO!G:H,2,0),"")</f>
        <v/>
      </c>
      <c r="J30" s="157">
        <f>IFERROR(VLOOKUP(A30,'03114902'!A:X,24,0),"")</f>
        <v>0</v>
      </c>
      <c r="K30" s="225">
        <f>VLOOKUP(A30,'03114902'!A:AM,39,0)</f>
        <v>0</v>
      </c>
      <c r="L30" s="157">
        <f>VLOOKUP(A30,'03114902'!A:AN,40,0)</f>
        <v>0</v>
      </c>
      <c r="M30" s="223">
        <f>VLOOKUP(A30,'03114902'!A:V,22,0)</f>
        <v>0</v>
      </c>
      <c r="N30" s="224">
        <f>VLOOKUP(A30,'03114902'!A:W,23,0)</f>
        <v>0</v>
      </c>
      <c r="O30" s="157">
        <f>VLOOKUP(A30,'03114902'!A:Y,25,0)</f>
        <v>0</v>
      </c>
      <c r="P30" s="157">
        <f>VLOOKUP(A30,'03114902'!A:Z,26,0)</f>
        <v>0</v>
      </c>
      <c r="Q30" s="157">
        <f>VLOOKUP(A30,'03114902'!A:AA,27,0)</f>
        <v>0</v>
      </c>
      <c r="R30" s="157">
        <f>VLOOKUP(A30,'03114902'!A:AB,28,0)</f>
        <v>0</v>
      </c>
    </row>
    <row r="31" spans="1:18" s="209" customFormat="1">
      <c r="A31" s="208">
        <f t="shared" si="0"/>
        <v>29</v>
      </c>
      <c r="B31" s="156">
        <f>VLOOKUP(A31,'03114902'!A:G,7,0)</f>
        <v>0</v>
      </c>
      <c r="C31" s="157" t="str">
        <f>VLOOKUP(A31,'03114902'!A:O,2,0)</f>
        <v/>
      </c>
      <c r="D31" s="157">
        <f>VLOOKUP(A31,'03114902'!A:I,9,0)</f>
        <v>0</v>
      </c>
      <c r="E31" s="157">
        <f>VLOOKUP(A31,'03114902'!A:L,12,0)</f>
        <v>0</v>
      </c>
      <c r="F31" s="157" t="str">
        <f>IFERROR(VLOOKUP(C31,FIDELIZAÇÃO!C:E,3,0),"")</f>
        <v/>
      </c>
      <c r="G31" s="225" t="str">
        <f>IFERROR(VLOOKUP(F31,FIDELIZAÇÃO!E:F,2,0),"")</f>
        <v/>
      </c>
      <c r="H31" s="157" t="str">
        <f>IFERROR(VLOOKUP(C31,FIDELIZAÇÃO!C:G,5,0),"")</f>
        <v/>
      </c>
      <c r="I31" s="225" t="str">
        <f>IFERROR(VLOOKUP(H31,FIDELIZAÇÃO!G:H,2,0),"")</f>
        <v/>
      </c>
      <c r="J31" s="157">
        <f>IFERROR(VLOOKUP(A31,'03114902'!A:X,24,0),"")</f>
        <v>0</v>
      </c>
      <c r="K31" s="225">
        <f>VLOOKUP(A31,'03114902'!A:AM,39,0)</f>
        <v>0</v>
      </c>
      <c r="L31" s="157">
        <f>VLOOKUP(A31,'03114902'!A:AN,40,0)</f>
        <v>0</v>
      </c>
      <c r="M31" s="223">
        <f>VLOOKUP(A31,'03114902'!A:V,22,0)</f>
        <v>0</v>
      </c>
      <c r="N31" s="224">
        <f>VLOOKUP(A31,'03114902'!A:W,23,0)</f>
        <v>0</v>
      </c>
      <c r="O31" s="157">
        <f>VLOOKUP(A31,'03114902'!A:Y,25,0)</f>
        <v>0</v>
      </c>
      <c r="P31" s="157">
        <f>VLOOKUP(A31,'03114902'!A:Z,26,0)</f>
        <v>0</v>
      </c>
      <c r="Q31" s="157">
        <f>VLOOKUP(A31,'03114902'!A:AA,27,0)</f>
        <v>0</v>
      </c>
      <c r="R31" s="157">
        <f>VLOOKUP(A31,'03114902'!A:AB,28,0)</f>
        <v>0</v>
      </c>
    </row>
    <row r="32" spans="1:18" s="209" customFormat="1">
      <c r="A32" s="208">
        <f t="shared" si="0"/>
        <v>30</v>
      </c>
      <c r="B32" s="156">
        <f>VLOOKUP(A32,'03114902'!A:G,7,0)</f>
        <v>0</v>
      </c>
      <c r="C32" s="157" t="str">
        <f>VLOOKUP(A32,'03114902'!A:O,2,0)</f>
        <v/>
      </c>
      <c r="D32" s="157">
        <f>VLOOKUP(A32,'03114902'!A:I,9,0)</f>
        <v>0</v>
      </c>
      <c r="E32" s="157">
        <f>VLOOKUP(A32,'03114902'!A:L,12,0)</f>
        <v>0</v>
      </c>
      <c r="F32" s="157" t="str">
        <f>IFERROR(VLOOKUP(C32,FIDELIZAÇÃO!C:E,3,0),"")</f>
        <v/>
      </c>
      <c r="G32" s="225" t="str">
        <f>IFERROR(VLOOKUP(F32,FIDELIZAÇÃO!E:F,2,0),"")</f>
        <v/>
      </c>
      <c r="H32" s="157" t="str">
        <f>IFERROR(VLOOKUP(C32,FIDELIZAÇÃO!C:G,5,0),"")</f>
        <v/>
      </c>
      <c r="I32" s="225" t="str">
        <f>IFERROR(VLOOKUP(H32,FIDELIZAÇÃO!G:H,2,0),"")</f>
        <v/>
      </c>
      <c r="J32" s="157">
        <f>IFERROR(VLOOKUP(A32,'03114902'!A:X,24,0),"")</f>
        <v>0</v>
      </c>
      <c r="K32" s="225">
        <f>VLOOKUP(A32,'03114902'!A:AM,39,0)</f>
        <v>0</v>
      </c>
      <c r="L32" s="157">
        <f>VLOOKUP(A32,'03114902'!A:AN,40,0)</f>
        <v>0</v>
      </c>
      <c r="M32" s="223">
        <f>VLOOKUP(A32,'03114902'!A:V,22,0)</f>
        <v>0</v>
      </c>
      <c r="N32" s="224">
        <f>VLOOKUP(A32,'03114902'!A:W,23,0)</f>
        <v>0</v>
      </c>
      <c r="O32" s="157">
        <f>VLOOKUP(A32,'03114902'!A:Y,25,0)</f>
        <v>0</v>
      </c>
      <c r="P32" s="157">
        <f>VLOOKUP(A32,'03114902'!A:Z,26,0)</f>
        <v>0</v>
      </c>
      <c r="Q32" s="157">
        <f>VLOOKUP(A32,'03114902'!A:AA,27,0)</f>
        <v>0</v>
      </c>
      <c r="R32" s="157">
        <f>VLOOKUP(A32,'03114902'!A:AB,28,0)</f>
        <v>0</v>
      </c>
    </row>
    <row r="33" spans="1:18" s="209" customFormat="1">
      <c r="A33" s="208">
        <f t="shared" si="0"/>
        <v>31</v>
      </c>
      <c r="B33" s="156">
        <f>VLOOKUP(A33,'03114902'!A:G,7,0)</f>
        <v>0</v>
      </c>
      <c r="C33" s="157" t="str">
        <f>VLOOKUP(A33,'03114902'!A:O,2,0)</f>
        <v/>
      </c>
      <c r="D33" s="157">
        <f>VLOOKUP(A33,'03114902'!A:I,9,0)</f>
        <v>0</v>
      </c>
      <c r="E33" s="157">
        <f>VLOOKUP(A33,'03114902'!A:L,12,0)</f>
        <v>0</v>
      </c>
      <c r="F33" s="157" t="str">
        <f>IFERROR(VLOOKUP(C33,FIDELIZAÇÃO!C:E,3,0),"")</f>
        <v/>
      </c>
      <c r="G33" s="225" t="str">
        <f>IFERROR(VLOOKUP(F33,FIDELIZAÇÃO!E:F,2,0),"")</f>
        <v/>
      </c>
      <c r="H33" s="157" t="str">
        <f>IFERROR(VLOOKUP(C33,FIDELIZAÇÃO!C:G,5,0),"")</f>
        <v/>
      </c>
      <c r="I33" s="225" t="str">
        <f>IFERROR(VLOOKUP(H33,FIDELIZAÇÃO!G:H,2,0),"")</f>
        <v/>
      </c>
      <c r="J33" s="157">
        <f>IFERROR(VLOOKUP(A33,'03114902'!A:X,24,0),"")</f>
        <v>0</v>
      </c>
      <c r="K33" s="225">
        <f>VLOOKUP(A33,'03114902'!A:AM,39,0)</f>
        <v>0</v>
      </c>
      <c r="L33" s="157">
        <f>VLOOKUP(A33,'03114902'!A:AN,40,0)</f>
        <v>0</v>
      </c>
      <c r="M33" s="223">
        <f>VLOOKUP(A33,'03114902'!A:V,22,0)</f>
        <v>0</v>
      </c>
      <c r="N33" s="224">
        <f>VLOOKUP(A33,'03114902'!A:W,23,0)</f>
        <v>0</v>
      </c>
      <c r="O33" s="157">
        <f>VLOOKUP(A33,'03114902'!A:Y,25,0)</f>
        <v>0</v>
      </c>
      <c r="P33" s="157">
        <f>VLOOKUP(A33,'03114902'!A:Z,26,0)</f>
        <v>0</v>
      </c>
      <c r="Q33" s="157">
        <f>VLOOKUP(A33,'03114902'!A:AA,27,0)</f>
        <v>0</v>
      </c>
      <c r="R33" s="157">
        <f>VLOOKUP(A33,'03114902'!A:AB,28,0)</f>
        <v>0</v>
      </c>
    </row>
    <row r="34" spans="1:18" s="209" customFormat="1">
      <c r="A34" s="208">
        <f t="shared" si="0"/>
        <v>32</v>
      </c>
      <c r="B34" s="156">
        <f>VLOOKUP(A34,'03114902'!A:G,7,0)</f>
        <v>0</v>
      </c>
      <c r="C34" s="157" t="str">
        <f>VLOOKUP(A34,'03114902'!A:O,2,0)</f>
        <v/>
      </c>
      <c r="D34" s="157">
        <f>VLOOKUP(A34,'03114902'!A:I,9,0)</f>
        <v>0</v>
      </c>
      <c r="E34" s="157">
        <f>VLOOKUP(A34,'03114902'!A:L,12,0)</f>
        <v>0</v>
      </c>
      <c r="F34" s="157" t="str">
        <f>IFERROR(VLOOKUP(C34,FIDELIZAÇÃO!C:E,3,0),"")</f>
        <v/>
      </c>
      <c r="G34" s="225" t="str">
        <f>IFERROR(VLOOKUP(F34,FIDELIZAÇÃO!E:F,2,0),"")</f>
        <v/>
      </c>
      <c r="H34" s="157" t="str">
        <f>IFERROR(VLOOKUP(C34,FIDELIZAÇÃO!C:G,5,0),"")</f>
        <v/>
      </c>
      <c r="I34" s="225" t="str">
        <f>IFERROR(VLOOKUP(H34,FIDELIZAÇÃO!G:H,2,0),"")</f>
        <v/>
      </c>
      <c r="J34" s="157">
        <f>IFERROR(VLOOKUP(A34,'03114902'!A:X,24,0),"")</f>
        <v>0</v>
      </c>
      <c r="K34" s="225">
        <f>VLOOKUP(A34,'03114902'!A:AM,39,0)</f>
        <v>0</v>
      </c>
      <c r="L34" s="157">
        <f>VLOOKUP(A34,'03114902'!A:AN,40,0)</f>
        <v>0</v>
      </c>
      <c r="M34" s="223">
        <f>VLOOKUP(A34,'03114902'!A:V,22,0)</f>
        <v>0</v>
      </c>
      <c r="N34" s="224">
        <f>VLOOKUP(A34,'03114902'!A:W,23,0)</f>
        <v>0</v>
      </c>
      <c r="O34" s="157">
        <f>VLOOKUP(A34,'03114902'!A:Y,25,0)</f>
        <v>0</v>
      </c>
      <c r="P34" s="157">
        <f>VLOOKUP(A34,'03114902'!A:Z,26,0)</f>
        <v>0</v>
      </c>
      <c r="Q34" s="157">
        <f>VLOOKUP(A34,'03114902'!A:AA,27,0)</f>
        <v>0</v>
      </c>
      <c r="R34" s="157">
        <f>VLOOKUP(A34,'03114902'!A:AB,28,0)</f>
        <v>0</v>
      </c>
    </row>
    <row r="35" spans="1:18" s="209" customFormat="1">
      <c r="A35" s="208">
        <f t="shared" si="0"/>
        <v>33</v>
      </c>
      <c r="B35" s="156">
        <f>VLOOKUP(A35,'03114902'!A:G,7,0)</f>
        <v>0</v>
      </c>
      <c r="C35" s="157" t="str">
        <f>VLOOKUP(A35,'03114902'!A:O,2,0)</f>
        <v/>
      </c>
      <c r="D35" s="157">
        <f>VLOOKUP(A35,'03114902'!A:I,9,0)</f>
        <v>0</v>
      </c>
      <c r="E35" s="157">
        <f>VLOOKUP(A35,'03114902'!A:L,12,0)</f>
        <v>0</v>
      </c>
      <c r="F35" s="157" t="str">
        <f>IFERROR(VLOOKUP(C35,FIDELIZAÇÃO!C:E,3,0),"")</f>
        <v/>
      </c>
      <c r="G35" s="225" t="str">
        <f>IFERROR(VLOOKUP(F35,FIDELIZAÇÃO!E:F,2,0),"")</f>
        <v/>
      </c>
      <c r="H35" s="157" t="str">
        <f>IFERROR(VLOOKUP(C35,FIDELIZAÇÃO!C:G,5,0),"")</f>
        <v/>
      </c>
      <c r="I35" s="225" t="str">
        <f>IFERROR(VLOOKUP(H35,FIDELIZAÇÃO!G:H,2,0),"")</f>
        <v/>
      </c>
      <c r="J35" s="157">
        <f>IFERROR(VLOOKUP(A35,'03114902'!A:X,24,0),"")</f>
        <v>0</v>
      </c>
      <c r="K35" s="225">
        <f>VLOOKUP(A35,'03114902'!A:AM,39,0)</f>
        <v>0</v>
      </c>
      <c r="L35" s="157">
        <f>VLOOKUP(A35,'03114902'!A:AN,40,0)</f>
        <v>0</v>
      </c>
      <c r="M35" s="223">
        <f>VLOOKUP(A35,'03114902'!A:V,22,0)</f>
        <v>0</v>
      </c>
      <c r="N35" s="224">
        <f>VLOOKUP(A35,'03114902'!A:W,23,0)</f>
        <v>0</v>
      </c>
      <c r="O35" s="157">
        <f>VLOOKUP(A35,'03114902'!A:Y,25,0)</f>
        <v>0</v>
      </c>
      <c r="P35" s="157">
        <f>VLOOKUP(A35,'03114902'!A:Z,26,0)</f>
        <v>0</v>
      </c>
      <c r="Q35" s="157">
        <f>VLOOKUP(A35,'03114902'!A:AA,27,0)</f>
        <v>0</v>
      </c>
      <c r="R35" s="157">
        <f>VLOOKUP(A35,'03114902'!A:AB,28,0)</f>
        <v>0</v>
      </c>
    </row>
    <row r="36" spans="1:18" s="209" customFormat="1">
      <c r="A36" s="208">
        <f t="shared" si="0"/>
        <v>34</v>
      </c>
      <c r="B36" s="156">
        <f>VLOOKUP(A36,'03114902'!A:G,7,0)</f>
        <v>0</v>
      </c>
      <c r="C36" s="157" t="str">
        <f>VLOOKUP(A36,'03114902'!A:O,2,0)</f>
        <v/>
      </c>
      <c r="D36" s="157">
        <f>VLOOKUP(A36,'03114902'!A:I,9,0)</f>
        <v>0</v>
      </c>
      <c r="E36" s="157">
        <f>VLOOKUP(A36,'03114902'!A:L,12,0)</f>
        <v>0</v>
      </c>
      <c r="F36" s="157" t="str">
        <f>IFERROR(VLOOKUP(C36,FIDELIZAÇÃO!C:E,3,0),"")</f>
        <v/>
      </c>
      <c r="G36" s="225" t="str">
        <f>IFERROR(VLOOKUP(F36,FIDELIZAÇÃO!E:F,2,0),"")</f>
        <v/>
      </c>
      <c r="H36" s="157" t="str">
        <f>IFERROR(VLOOKUP(C36,FIDELIZAÇÃO!C:G,5,0),"")</f>
        <v/>
      </c>
      <c r="I36" s="225" t="str">
        <f>IFERROR(VLOOKUP(H36,FIDELIZAÇÃO!G:H,2,0),"")</f>
        <v/>
      </c>
      <c r="J36" s="157">
        <f>IFERROR(VLOOKUP(A36,'03114902'!A:X,24,0),"")</f>
        <v>0</v>
      </c>
      <c r="K36" s="225">
        <f>VLOOKUP(A36,'03114902'!A:AM,39,0)</f>
        <v>0</v>
      </c>
      <c r="L36" s="157">
        <f>VLOOKUP(A36,'03114902'!A:AN,40,0)</f>
        <v>0</v>
      </c>
      <c r="M36" s="223">
        <f>VLOOKUP(A36,'03114902'!A:V,22,0)</f>
        <v>0</v>
      </c>
      <c r="N36" s="224">
        <f>VLOOKUP(A36,'03114902'!A:W,23,0)</f>
        <v>0</v>
      </c>
      <c r="O36" s="157">
        <f>VLOOKUP(A36,'03114902'!A:Y,25,0)</f>
        <v>0</v>
      </c>
      <c r="P36" s="157">
        <f>VLOOKUP(A36,'03114902'!A:Z,26,0)</f>
        <v>0</v>
      </c>
      <c r="Q36" s="157">
        <f>VLOOKUP(A36,'03114902'!A:AA,27,0)</f>
        <v>0</v>
      </c>
      <c r="R36" s="157">
        <f>VLOOKUP(A36,'03114902'!A:AB,28,0)</f>
        <v>0</v>
      </c>
    </row>
    <row r="37" spans="1:18" s="209" customFormat="1">
      <c r="A37" s="208">
        <f t="shared" si="0"/>
        <v>35</v>
      </c>
      <c r="B37" s="156">
        <f>VLOOKUP(A37,'03114902'!A:G,7,0)</f>
        <v>0</v>
      </c>
      <c r="C37" s="157" t="str">
        <f>VLOOKUP(A37,'03114902'!A:O,2,0)</f>
        <v/>
      </c>
      <c r="D37" s="157">
        <f>VLOOKUP(A37,'03114902'!A:I,9,0)</f>
        <v>0</v>
      </c>
      <c r="E37" s="157">
        <f>VLOOKUP(A37,'03114902'!A:L,12,0)</f>
        <v>0</v>
      </c>
      <c r="F37" s="157" t="str">
        <f>IFERROR(VLOOKUP(C37,FIDELIZAÇÃO!C:E,3,0),"")</f>
        <v/>
      </c>
      <c r="G37" s="225" t="str">
        <f>IFERROR(VLOOKUP(F37,FIDELIZAÇÃO!E:F,2,0),"")</f>
        <v/>
      </c>
      <c r="H37" s="157" t="str">
        <f>IFERROR(VLOOKUP(C37,FIDELIZAÇÃO!C:G,5,0),"")</f>
        <v/>
      </c>
      <c r="I37" s="225" t="str">
        <f>IFERROR(VLOOKUP(H37,FIDELIZAÇÃO!G:H,2,0),"")</f>
        <v/>
      </c>
      <c r="J37" s="157">
        <f>IFERROR(VLOOKUP(A37,'03114902'!A:X,24,0),"")</f>
        <v>0</v>
      </c>
      <c r="K37" s="225">
        <f>VLOOKUP(A37,'03114902'!A:AM,39,0)</f>
        <v>0</v>
      </c>
      <c r="L37" s="157">
        <f>VLOOKUP(A37,'03114902'!A:AN,40,0)</f>
        <v>0</v>
      </c>
      <c r="M37" s="223">
        <f>VLOOKUP(A37,'03114902'!A:V,22,0)</f>
        <v>0</v>
      </c>
      <c r="N37" s="224">
        <f>VLOOKUP(A37,'03114902'!A:W,23,0)</f>
        <v>0</v>
      </c>
      <c r="O37" s="157">
        <f>VLOOKUP(A37,'03114902'!A:Y,25,0)</f>
        <v>0</v>
      </c>
      <c r="P37" s="157">
        <f>VLOOKUP(A37,'03114902'!A:Z,26,0)</f>
        <v>0</v>
      </c>
      <c r="Q37" s="157">
        <f>VLOOKUP(A37,'03114902'!A:AA,27,0)</f>
        <v>0</v>
      </c>
      <c r="R37" s="157">
        <f>VLOOKUP(A37,'03114902'!A:AB,28,0)</f>
        <v>0</v>
      </c>
    </row>
    <row r="38" spans="1:18" s="209" customFormat="1">
      <c r="A38" s="208">
        <f t="shared" si="0"/>
        <v>36</v>
      </c>
      <c r="B38" s="156">
        <f>VLOOKUP(A38,'03114902'!A:G,7,0)</f>
        <v>0</v>
      </c>
      <c r="C38" s="157" t="str">
        <f>VLOOKUP(A38,'03114902'!A:O,2,0)</f>
        <v/>
      </c>
      <c r="D38" s="157">
        <f>VLOOKUP(A38,'03114902'!A:I,9,0)</f>
        <v>0</v>
      </c>
      <c r="E38" s="157">
        <f>VLOOKUP(A38,'03114902'!A:L,12,0)</f>
        <v>0</v>
      </c>
      <c r="F38" s="157" t="str">
        <f>IFERROR(VLOOKUP(C38,FIDELIZAÇÃO!C:E,3,0),"")</f>
        <v/>
      </c>
      <c r="G38" s="225" t="str">
        <f>IFERROR(VLOOKUP(F38,FIDELIZAÇÃO!E:F,2,0),"")</f>
        <v/>
      </c>
      <c r="H38" s="157" t="str">
        <f>IFERROR(VLOOKUP(C38,FIDELIZAÇÃO!C:G,5,0),"")</f>
        <v/>
      </c>
      <c r="I38" s="225" t="str">
        <f>IFERROR(VLOOKUP(H38,FIDELIZAÇÃO!G:H,2,0),"")</f>
        <v/>
      </c>
      <c r="J38" s="157">
        <f>IFERROR(VLOOKUP(A38,'03114902'!A:X,24,0),"")</f>
        <v>0</v>
      </c>
      <c r="K38" s="225">
        <f>VLOOKUP(A38,'03114902'!A:AM,39,0)</f>
        <v>0</v>
      </c>
      <c r="L38" s="157">
        <f>VLOOKUP(A38,'03114902'!A:AN,40,0)</f>
        <v>0</v>
      </c>
      <c r="M38" s="223">
        <f>VLOOKUP(A38,'03114902'!A:V,22,0)</f>
        <v>0</v>
      </c>
      <c r="N38" s="224">
        <f>VLOOKUP(A38,'03114902'!A:W,23,0)</f>
        <v>0</v>
      </c>
      <c r="O38" s="157">
        <f>VLOOKUP(A38,'03114902'!A:Y,25,0)</f>
        <v>0</v>
      </c>
      <c r="P38" s="157">
        <f>VLOOKUP(A38,'03114902'!A:Z,26,0)</f>
        <v>0</v>
      </c>
      <c r="Q38" s="157">
        <f>VLOOKUP(A38,'03114902'!A:AA,27,0)</f>
        <v>0</v>
      </c>
      <c r="R38" s="157">
        <f>VLOOKUP(A38,'03114902'!A:AB,28,0)</f>
        <v>0</v>
      </c>
    </row>
    <row r="39" spans="1:18" s="209" customFormat="1">
      <c r="A39" s="208">
        <f t="shared" si="0"/>
        <v>37</v>
      </c>
      <c r="B39" s="156">
        <f>VLOOKUP(A39,'03114902'!A:G,7,0)</f>
        <v>0</v>
      </c>
      <c r="C39" s="157" t="str">
        <f>VLOOKUP(A39,'03114902'!A:O,2,0)</f>
        <v/>
      </c>
      <c r="D39" s="157">
        <f>VLOOKUP(A39,'03114902'!A:I,9,0)</f>
        <v>0</v>
      </c>
      <c r="E39" s="157">
        <f>VLOOKUP(A39,'03114902'!A:L,12,0)</f>
        <v>0</v>
      </c>
      <c r="F39" s="157" t="str">
        <f>IFERROR(VLOOKUP(C39,FIDELIZAÇÃO!C:E,3,0),"")</f>
        <v/>
      </c>
      <c r="G39" s="225" t="str">
        <f>IFERROR(VLOOKUP(F39,FIDELIZAÇÃO!E:F,2,0),"")</f>
        <v/>
      </c>
      <c r="H39" s="157" t="str">
        <f>IFERROR(VLOOKUP(C39,FIDELIZAÇÃO!C:G,5,0),"")</f>
        <v/>
      </c>
      <c r="I39" s="225" t="str">
        <f>IFERROR(VLOOKUP(H39,FIDELIZAÇÃO!G:H,2,0),"")</f>
        <v/>
      </c>
      <c r="J39" s="157">
        <f>IFERROR(VLOOKUP(A39,'03114902'!A:X,24,0),"")</f>
        <v>0</v>
      </c>
      <c r="K39" s="225">
        <f>VLOOKUP(A39,'03114902'!A:AM,39,0)</f>
        <v>0</v>
      </c>
      <c r="L39" s="157">
        <f>VLOOKUP(A39,'03114902'!A:AN,40,0)</f>
        <v>0</v>
      </c>
      <c r="M39" s="223">
        <f>VLOOKUP(A39,'03114902'!A:V,22,0)</f>
        <v>0</v>
      </c>
      <c r="N39" s="224">
        <f>VLOOKUP(A39,'03114902'!A:W,23,0)</f>
        <v>0</v>
      </c>
      <c r="O39" s="157">
        <f>VLOOKUP(A39,'03114902'!A:Y,25,0)</f>
        <v>0</v>
      </c>
      <c r="P39" s="157">
        <f>VLOOKUP(A39,'03114902'!A:Z,26,0)</f>
        <v>0</v>
      </c>
      <c r="Q39" s="157">
        <f>VLOOKUP(A39,'03114902'!A:AA,27,0)</f>
        <v>0</v>
      </c>
      <c r="R39" s="157">
        <f>VLOOKUP(A39,'03114902'!A:AB,28,0)</f>
        <v>0</v>
      </c>
    </row>
    <row r="40" spans="1:18" s="209" customFormat="1">
      <c r="A40" s="208">
        <f t="shared" si="0"/>
        <v>38</v>
      </c>
      <c r="B40" s="156">
        <f>VLOOKUP(A40,'03114902'!A:G,7,0)</f>
        <v>0</v>
      </c>
      <c r="C40" s="157" t="str">
        <f>VLOOKUP(A40,'03114902'!A:O,2,0)</f>
        <v/>
      </c>
      <c r="D40" s="157">
        <f>VLOOKUP(A40,'03114902'!A:I,9,0)</f>
        <v>0</v>
      </c>
      <c r="E40" s="157">
        <f>VLOOKUP(A40,'03114902'!A:L,12,0)</f>
        <v>0</v>
      </c>
      <c r="F40" s="157" t="str">
        <f>IFERROR(VLOOKUP(C40,FIDELIZAÇÃO!C:E,3,0),"")</f>
        <v/>
      </c>
      <c r="G40" s="225" t="str">
        <f>IFERROR(VLOOKUP(F40,FIDELIZAÇÃO!E:F,2,0),"")</f>
        <v/>
      </c>
      <c r="H40" s="157" t="str">
        <f>IFERROR(VLOOKUP(C40,FIDELIZAÇÃO!C:G,5,0),"")</f>
        <v/>
      </c>
      <c r="I40" s="225" t="str">
        <f>IFERROR(VLOOKUP(H40,FIDELIZAÇÃO!G:H,2,0),"")</f>
        <v/>
      </c>
      <c r="J40" s="157">
        <f>IFERROR(VLOOKUP(A40,'03114902'!A:X,24,0),"")</f>
        <v>0</v>
      </c>
      <c r="K40" s="225">
        <f>VLOOKUP(A40,'03114902'!A:AM,39,0)</f>
        <v>0</v>
      </c>
      <c r="L40" s="157">
        <f>VLOOKUP(A40,'03114902'!A:AN,40,0)</f>
        <v>0</v>
      </c>
      <c r="M40" s="223">
        <f>VLOOKUP(A40,'03114902'!A:V,22,0)</f>
        <v>0</v>
      </c>
      <c r="N40" s="224">
        <f>VLOOKUP(A40,'03114902'!A:W,23,0)</f>
        <v>0</v>
      </c>
      <c r="O40" s="157">
        <f>VLOOKUP(A40,'03114902'!A:Y,25,0)</f>
        <v>0</v>
      </c>
      <c r="P40" s="157">
        <f>VLOOKUP(A40,'03114902'!A:Z,26,0)</f>
        <v>0</v>
      </c>
      <c r="Q40" s="157">
        <f>VLOOKUP(A40,'03114902'!A:AA,27,0)</f>
        <v>0</v>
      </c>
      <c r="R40" s="157">
        <f>VLOOKUP(A40,'03114902'!A:AB,28,0)</f>
        <v>0</v>
      </c>
    </row>
    <row r="41" spans="1:18" s="209" customFormat="1">
      <c r="A41" s="208">
        <f t="shared" si="0"/>
        <v>39</v>
      </c>
      <c r="B41" s="156">
        <f>VLOOKUP(A41,'03114902'!A:G,7,0)</f>
        <v>0</v>
      </c>
      <c r="C41" s="157" t="str">
        <f>VLOOKUP(A41,'03114902'!A:O,2,0)</f>
        <v/>
      </c>
      <c r="D41" s="157">
        <f>VLOOKUP(A41,'03114902'!A:I,9,0)</f>
        <v>0</v>
      </c>
      <c r="E41" s="157">
        <f>VLOOKUP(A41,'03114902'!A:L,12,0)</f>
        <v>0</v>
      </c>
      <c r="F41" s="157" t="str">
        <f>IFERROR(VLOOKUP(C41,FIDELIZAÇÃO!C:E,3,0),"")</f>
        <v/>
      </c>
      <c r="G41" s="225" t="str">
        <f>IFERROR(VLOOKUP(F41,FIDELIZAÇÃO!E:F,2,0),"")</f>
        <v/>
      </c>
      <c r="H41" s="157" t="str">
        <f>IFERROR(VLOOKUP(C41,FIDELIZAÇÃO!C:G,5,0),"")</f>
        <v/>
      </c>
      <c r="I41" s="225" t="str">
        <f>IFERROR(VLOOKUP(H41,FIDELIZAÇÃO!G:H,2,0),"")</f>
        <v/>
      </c>
      <c r="J41" s="157">
        <f>IFERROR(VLOOKUP(A41,'03114902'!A:X,24,0),"")</f>
        <v>0</v>
      </c>
      <c r="K41" s="225">
        <f>VLOOKUP(A41,'03114902'!A:AM,39,0)</f>
        <v>0</v>
      </c>
      <c r="L41" s="157">
        <f>VLOOKUP(A41,'03114902'!A:AN,40,0)</f>
        <v>0</v>
      </c>
      <c r="M41" s="223">
        <f>VLOOKUP(A41,'03114902'!A:V,22,0)</f>
        <v>0</v>
      </c>
      <c r="N41" s="224">
        <f>VLOOKUP(A41,'03114902'!A:W,23,0)</f>
        <v>0</v>
      </c>
      <c r="O41" s="157">
        <f>VLOOKUP(A41,'03114902'!A:Y,25,0)</f>
        <v>0</v>
      </c>
      <c r="P41" s="157">
        <f>VLOOKUP(A41,'03114902'!A:Z,26,0)</f>
        <v>0</v>
      </c>
      <c r="Q41" s="157">
        <f>VLOOKUP(A41,'03114902'!A:AA,27,0)</f>
        <v>0</v>
      </c>
      <c r="R41" s="157">
        <f>VLOOKUP(A41,'03114902'!A:AB,28,0)</f>
        <v>0</v>
      </c>
    </row>
    <row r="42" spans="1:18" s="209" customFormat="1">
      <c r="A42" s="208">
        <f t="shared" si="0"/>
        <v>40</v>
      </c>
      <c r="B42" s="156">
        <f>VLOOKUP(A42,'03114902'!A:G,7,0)</f>
        <v>0</v>
      </c>
      <c r="C42" s="157" t="str">
        <f>VLOOKUP(A42,'03114902'!A:O,2,0)</f>
        <v/>
      </c>
      <c r="D42" s="157">
        <f>VLOOKUP(A42,'03114902'!A:I,9,0)</f>
        <v>0</v>
      </c>
      <c r="E42" s="157">
        <f>VLOOKUP(A42,'03114902'!A:L,12,0)</f>
        <v>0</v>
      </c>
      <c r="F42" s="157" t="str">
        <f>IFERROR(VLOOKUP(C42,FIDELIZAÇÃO!C:E,3,0),"")</f>
        <v/>
      </c>
      <c r="G42" s="225" t="str">
        <f>IFERROR(VLOOKUP(F42,FIDELIZAÇÃO!E:F,2,0),"")</f>
        <v/>
      </c>
      <c r="H42" s="157" t="str">
        <f>IFERROR(VLOOKUP(C42,FIDELIZAÇÃO!C:G,5,0),"")</f>
        <v/>
      </c>
      <c r="I42" s="225" t="str">
        <f>IFERROR(VLOOKUP(H42,FIDELIZAÇÃO!G:H,2,0),"")</f>
        <v/>
      </c>
      <c r="J42" s="157">
        <f>IFERROR(VLOOKUP(A42,'03114902'!A:X,24,0),"")</f>
        <v>0</v>
      </c>
      <c r="K42" s="225">
        <f>VLOOKUP(A42,'03114902'!A:AM,39,0)</f>
        <v>0</v>
      </c>
      <c r="L42" s="157">
        <f>VLOOKUP(A42,'03114902'!A:AN,40,0)</f>
        <v>0</v>
      </c>
      <c r="M42" s="223">
        <f>VLOOKUP(A42,'03114902'!A:V,22,0)</f>
        <v>0</v>
      </c>
      <c r="N42" s="224">
        <f>VLOOKUP(A42,'03114902'!A:W,23,0)</f>
        <v>0</v>
      </c>
      <c r="O42" s="157">
        <f>VLOOKUP(A42,'03114902'!A:Y,25,0)</f>
        <v>0</v>
      </c>
      <c r="P42" s="157">
        <f>VLOOKUP(A42,'03114902'!A:Z,26,0)</f>
        <v>0</v>
      </c>
      <c r="Q42" s="157">
        <f>VLOOKUP(A42,'03114902'!A:AA,27,0)</f>
        <v>0</v>
      </c>
      <c r="R42" s="157">
        <f>VLOOKUP(A42,'03114902'!A:AB,28,0)</f>
        <v>0</v>
      </c>
    </row>
    <row r="43" spans="1:18" s="209" customFormat="1">
      <c r="A43" s="208">
        <f t="shared" si="0"/>
        <v>41</v>
      </c>
      <c r="B43" s="156">
        <f>VLOOKUP(A43,'03114902'!A:G,7,0)</f>
        <v>0</v>
      </c>
      <c r="C43" s="157" t="str">
        <f>VLOOKUP(A43,'03114902'!A:O,2,0)</f>
        <v/>
      </c>
      <c r="D43" s="157">
        <f>VLOOKUP(A43,'03114902'!A:I,9,0)</f>
        <v>0</v>
      </c>
      <c r="E43" s="157">
        <f>VLOOKUP(A43,'03114902'!A:L,12,0)</f>
        <v>0</v>
      </c>
      <c r="F43" s="157" t="str">
        <f>IFERROR(VLOOKUP(C43,FIDELIZAÇÃO!C:E,3,0),"")</f>
        <v/>
      </c>
      <c r="G43" s="225" t="str">
        <f>IFERROR(VLOOKUP(F43,FIDELIZAÇÃO!E:F,2,0),"")</f>
        <v/>
      </c>
      <c r="H43" s="157" t="str">
        <f>IFERROR(VLOOKUP(C43,FIDELIZAÇÃO!C:G,5,0),"")</f>
        <v/>
      </c>
      <c r="I43" s="225" t="str">
        <f>IFERROR(VLOOKUP(H43,FIDELIZAÇÃO!G:H,2,0),"")</f>
        <v/>
      </c>
      <c r="J43" s="157">
        <f>IFERROR(VLOOKUP(A43,'03114902'!A:X,24,0),"")</f>
        <v>0</v>
      </c>
      <c r="K43" s="225">
        <f>VLOOKUP(A43,'03114902'!A:AM,39,0)</f>
        <v>0</v>
      </c>
      <c r="L43" s="157">
        <f>VLOOKUP(A43,'03114902'!A:AN,40,0)</f>
        <v>0</v>
      </c>
      <c r="M43" s="223">
        <f>VLOOKUP(A43,'03114902'!A:V,22,0)</f>
        <v>0</v>
      </c>
      <c r="N43" s="224">
        <f>VLOOKUP(A43,'03114902'!A:W,23,0)</f>
        <v>0</v>
      </c>
      <c r="O43" s="157">
        <f>VLOOKUP(A43,'03114902'!A:Y,25,0)</f>
        <v>0</v>
      </c>
      <c r="P43" s="157">
        <f>VLOOKUP(A43,'03114902'!A:Z,26,0)</f>
        <v>0</v>
      </c>
      <c r="Q43" s="157">
        <f>VLOOKUP(A43,'03114902'!A:AA,27,0)</f>
        <v>0</v>
      </c>
      <c r="R43" s="157">
        <f>VLOOKUP(A43,'03114902'!A:AB,28,0)</f>
        <v>0</v>
      </c>
    </row>
    <row r="44" spans="1:18" s="209" customFormat="1">
      <c r="A44" s="208">
        <f t="shared" si="0"/>
        <v>42</v>
      </c>
      <c r="B44" s="156">
        <f>VLOOKUP(A44,'03114902'!A:G,7,0)</f>
        <v>0</v>
      </c>
      <c r="C44" s="157" t="str">
        <f>VLOOKUP(A44,'03114902'!A:O,2,0)</f>
        <v/>
      </c>
      <c r="D44" s="157">
        <f>VLOOKUP(A44,'03114902'!A:I,9,0)</f>
        <v>0</v>
      </c>
      <c r="E44" s="157">
        <f>VLOOKUP(A44,'03114902'!A:L,12,0)</f>
        <v>0</v>
      </c>
      <c r="F44" s="157" t="str">
        <f>IFERROR(VLOOKUP(C44,FIDELIZAÇÃO!C:E,3,0),"")</f>
        <v/>
      </c>
      <c r="G44" s="157" t="str">
        <f>IFERROR(VLOOKUP(F44,FIDELIZAÇÃO!E:F,2,0),"")</f>
        <v/>
      </c>
      <c r="H44" s="157" t="str">
        <f>IFERROR(VLOOKUP(C44,FIDELIZAÇÃO!C:G,5,0),"")</f>
        <v/>
      </c>
      <c r="I44" s="225" t="str">
        <f>IFERROR(VLOOKUP(H44,FIDELIZAÇÃO!G:H,2,0),"")</f>
        <v/>
      </c>
      <c r="J44" s="157">
        <f>IFERROR(VLOOKUP(A44,'03114902'!A:X,24,0),"")</f>
        <v>0</v>
      </c>
      <c r="K44" s="225">
        <f>VLOOKUP(A44,'03114902'!A:AM,39,0)</f>
        <v>0</v>
      </c>
      <c r="L44" s="157">
        <f>VLOOKUP(A44,'03114902'!A:AN,40,0)</f>
        <v>0</v>
      </c>
      <c r="M44" s="223">
        <f>VLOOKUP(A44,'03114902'!A:V,22,0)</f>
        <v>0</v>
      </c>
      <c r="N44" s="224">
        <f>VLOOKUP(A44,'03114902'!A:W,23,0)</f>
        <v>0</v>
      </c>
      <c r="O44" s="157">
        <f>VLOOKUP(A44,'03114902'!A:Y,25,0)</f>
        <v>0</v>
      </c>
      <c r="P44" s="157">
        <f>VLOOKUP(A44,'03114902'!A:Z,26,0)</f>
        <v>0</v>
      </c>
      <c r="Q44" s="157">
        <f>VLOOKUP(A44,'03114902'!A:AA,27,0)</f>
        <v>0</v>
      </c>
      <c r="R44" s="157">
        <f>VLOOKUP(A44,'03114902'!A:AB,28,0)</f>
        <v>0</v>
      </c>
    </row>
    <row r="45" spans="1:18" s="209" customFormat="1">
      <c r="A45" s="208">
        <f t="shared" si="0"/>
        <v>43</v>
      </c>
      <c r="B45" s="156">
        <f>VLOOKUP(A45,'03114902'!A:G,7,0)</f>
        <v>0</v>
      </c>
      <c r="C45" s="157" t="str">
        <f>VLOOKUP(A45,'03114902'!A:O,2,0)</f>
        <v/>
      </c>
      <c r="D45" s="157">
        <f>VLOOKUP(A45,'03114902'!A:I,9,0)</f>
        <v>0</v>
      </c>
      <c r="E45" s="157">
        <f>VLOOKUP(A45,'03114902'!A:L,12,0)</f>
        <v>0</v>
      </c>
      <c r="F45" s="157" t="str">
        <f>IFERROR(VLOOKUP(C45,FIDELIZAÇÃO!C:E,3,0),"")</f>
        <v/>
      </c>
      <c r="G45" s="157" t="str">
        <f>IFERROR(VLOOKUP(F45,FIDELIZAÇÃO!E:F,2,0),"")</f>
        <v/>
      </c>
      <c r="H45" s="157" t="str">
        <f>IFERROR(VLOOKUP(C45,FIDELIZAÇÃO!C:G,5,0),"")</f>
        <v/>
      </c>
      <c r="I45" s="225" t="str">
        <f>IFERROR(VLOOKUP(H45,FIDELIZAÇÃO!G:H,2,0),"")</f>
        <v/>
      </c>
      <c r="J45" s="157">
        <f>IFERROR(VLOOKUP(A45,'03114902'!A:X,24,0),"")</f>
        <v>0</v>
      </c>
      <c r="K45" s="225">
        <f>VLOOKUP(A45,'03114902'!A:AM,39,0)</f>
        <v>0</v>
      </c>
      <c r="L45" s="157">
        <f>VLOOKUP(A45,'03114902'!A:AN,40,0)</f>
        <v>0</v>
      </c>
      <c r="M45" s="223">
        <f>VLOOKUP(A45,'03114902'!A:V,22,0)</f>
        <v>0</v>
      </c>
      <c r="N45" s="224">
        <f>VLOOKUP(A45,'03114902'!A:W,23,0)</f>
        <v>0</v>
      </c>
      <c r="O45" s="157">
        <f>VLOOKUP(A45,'03114902'!A:Y,25,0)</f>
        <v>0</v>
      </c>
      <c r="P45" s="157">
        <f>VLOOKUP(A45,'03114902'!A:Z,26,0)</f>
        <v>0</v>
      </c>
      <c r="Q45" s="157">
        <f>VLOOKUP(A45,'03114902'!A:AA,27,0)</f>
        <v>0</v>
      </c>
      <c r="R45" s="157">
        <f>VLOOKUP(A45,'03114902'!A:AB,28,0)</f>
        <v>0</v>
      </c>
    </row>
    <row r="46" spans="1:18" s="209" customFormat="1">
      <c r="A46" s="208">
        <f t="shared" si="0"/>
        <v>44</v>
      </c>
      <c r="B46" s="156">
        <f>VLOOKUP(A46,'03114902'!A:G,7,0)</f>
        <v>0</v>
      </c>
      <c r="C46" s="157" t="str">
        <f>VLOOKUP(A46,'03114902'!A:O,2,0)</f>
        <v/>
      </c>
      <c r="D46" s="157">
        <f>VLOOKUP(A46,'03114902'!A:I,9,0)</f>
        <v>0</v>
      </c>
      <c r="E46" s="157">
        <f>VLOOKUP(A46,'03114902'!A:L,12,0)</f>
        <v>0</v>
      </c>
      <c r="F46" s="157" t="str">
        <f>IFERROR(VLOOKUP(C46,FIDELIZAÇÃO!C:E,3,0),"")</f>
        <v/>
      </c>
      <c r="G46" s="157" t="str">
        <f>IFERROR(VLOOKUP(F46,FIDELIZAÇÃO!E:F,2,0),"")</f>
        <v/>
      </c>
      <c r="H46" s="157" t="str">
        <f>IFERROR(VLOOKUP(C46,FIDELIZAÇÃO!C:G,5,0),"")</f>
        <v/>
      </c>
      <c r="I46" s="225" t="str">
        <f>IFERROR(VLOOKUP(H46,FIDELIZAÇÃO!G:H,2,0),"")</f>
        <v/>
      </c>
      <c r="J46" s="157">
        <f>IFERROR(VLOOKUP(A46,'03114902'!A:X,24,0),"")</f>
        <v>0</v>
      </c>
      <c r="K46" s="225">
        <f>VLOOKUP(A46,'03114902'!A:AM,39,0)</f>
        <v>0</v>
      </c>
      <c r="L46" s="157">
        <f>VLOOKUP(A46,'03114902'!A:AN,40,0)</f>
        <v>0</v>
      </c>
      <c r="M46" s="223">
        <f>VLOOKUP(A46,'03114902'!A:V,22,0)</f>
        <v>0</v>
      </c>
      <c r="N46" s="224">
        <f>VLOOKUP(A46,'03114902'!A:W,23,0)</f>
        <v>0</v>
      </c>
      <c r="O46" s="157">
        <f>VLOOKUP(A46,'03114902'!A:Y,25,0)</f>
        <v>0</v>
      </c>
      <c r="P46" s="157">
        <f>VLOOKUP(A46,'03114902'!A:Z,26,0)</f>
        <v>0</v>
      </c>
      <c r="Q46" s="157">
        <f>VLOOKUP(A46,'03114902'!A:AA,27,0)</f>
        <v>0</v>
      </c>
      <c r="R46" s="157">
        <f>VLOOKUP(A46,'03114902'!A:AB,28,0)</f>
        <v>0</v>
      </c>
    </row>
    <row r="47" spans="1:18" s="1" customFormat="1">
      <c r="A47" s="208">
        <f t="shared" si="0"/>
        <v>45</v>
      </c>
      <c r="B47" s="156">
        <f>VLOOKUP(A47,'03114902'!A:G,7,0)</f>
        <v>0</v>
      </c>
      <c r="C47" s="157" t="str">
        <f>VLOOKUP(A47,'03114902'!A:O,2,0)</f>
        <v/>
      </c>
      <c r="D47" s="157">
        <f>VLOOKUP(A47,'03114902'!A:I,9,0)</f>
        <v>0</v>
      </c>
      <c r="E47" s="157">
        <f>VLOOKUP(A47,'03114902'!A:L,12,0)</f>
        <v>0</v>
      </c>
      <c r="F47" s="157" t="str">
        <f>IFERROR(VLOOKUP(C47,FIDELIZAÇÃO!C:E,3,0),"")</f>
        <v/>
      </c>
      <c r="G47" s="157" t="str">
        <f>IFERROR(VLOOKUP(F47,FIDELIZAÇÃO!E:F,2,0),"")</f>
        <v/>
      </c>
      <c r="H47" s="157" t="str">
        <f>IFERROR(VLOOKUP(C47,FIDELIZAÇÃO!C:G,5,0),"")</f>
        <v/>
      </c>
      <c r="I47" s="225" t="str">
        <f>IFERROR(VLOOKUP(H47,FIDELIZAÇÃO!G:H,2,0),"")</f>
        <v/>
      </c>
      <c r="J47" s="157">
        <f>IFERROR(VLOOKUP(A47,'03114902'!A:X,24,0),"")</f>
        <v>0</v>
      </c>
      <c r="K47" s="225">
        <f>VLOOKUP(A47,'03114902'!A:AM,39,0)</f>
        <v>0</v>
      </c>
      <c r="L47" s="157">
        <f>VLOOKUP(A47,'03114902'!A:AN,40,0)</f>
        <v>0</v>
      </c>
      <c r="M47" s="223">
        <f>VLOOKUP(A47,'03114902'!A:V,22,0)</f>
        <v>0</v>
      </c>
      <c r="N47" s="224">
        <f>VLOOKUP(A47,'03114902'!A:W,23,0)</f>
        <v>0</v>
      </c>
      <c r="O47" s="157">
        <f>VLOOKUP(A47,'03114902'!A:Y,25,0)</f>
        <v>0</v>
      </c>
      <c r="P47" s="157">
        <f>VLOOKUP(A47,'03114902'!A:Z,26,0)</f>
        <v>0</v>
      </c>
      <c r="Q47" s="157">
        <f>VLOOKUP(A47,'03114902'!A:AA,27,0)</f>
        <v>0</v>
      </c>
      <c r="R47" s="157">
        <f>VLOOKUP(A47,'03114902'!A:AB,28,0)</f>
        <v>0</v>
      </c>
    </row>
    <row r="48" spans="1:18" s="1" customFormat="1">
      <c r="A48" s="208">
        <f t="shared" si="0"/>
        <v>46</v>
      </c>
      <c r="B48" s="156">
        <f>VLOOKUP(A48,'03114902'!A:G,7,0)</f>
        <v>0</v>
      </c>
      <c r="C48" s="157" t="str">
        <f>VLOOKUP(A48,'03114902'!A:O,2,0)</f>
        <v/>
      </c>
      <c r="D48" s="157">
        <f>VLOOKUP(A48,'03114902'!A:I,9,0)</f>
        <v>0</v>
      </c>
      <c r="E48" s="157">
        <f>VLOOKUP(A48,'03114902'!A:L,12,0)</f>
        <v>0</v>
      </c>
      <c r="F48" s="157" t="str">
        <f>IFERROR(VLOOKUP(C48,FIDELIZAÇÃO!C:E,3,0),"")</f>
        <v/>
      </c>
      <c r="G48" s="157" t="str">
        <f>IFERROR(VLOOKUP(F48,FIDELIZAÇÃO!E:F,2,0),"")</f>
        <v/>
      </c>
      <c r="H48" s="157" t="str">
        <f>IFERROR(VLOOKUP(C48,FIDELIZAÇÃO!C:G,5,0),"")</f>
        <v/>
      </c>
      <c r="I48" s="225" t="str">
        <f>IFERROR(VLOOKUP(H48,FIDELIZAÇÃO!G:H,2,0),"")</f>
        <v/>
      </c>
      <c r="J48" s="157">
        <f>IFERROR(VLOOKUP(A48,'03114902'!A:X,24,0),"")</f>
        <v>0</v>
      </c>
      <c r="K48" s="225">
        <f>VLOOKUP(A48,'03114902'!A:AM,39,0)</f>
        <v>0</v>
      </c>
      <c r="L48" s="157">
        <f>VLOOKUP(A48,'03114902'!A:AN,40,0)</f>
        <v>0</v>
      </c>
      <c r="M48" s="223">
        <f>VLOOKUP(A48,'03114902'!A:V,22,0)</f>
        <v>0</v>
      </c>
      <c r="N48" s="224">
        <f>VLOOKUP(A48,'03114902'!A:W,23,0)</f>
        <v>0</v>
      </c>
      <c r="O48" s="157">
        <f>VLOOKUP(A48,'03114902'!A:Y,25,0)</f>
        <v>0</v>
      </c>
      <c r="P48" s="157">
        <f>VLOOKUP(A48,'03114902'!A:Z,26,0)</f>
        <v>0</v>
      </c>
      <c r="Q48" s="157">
        <f>VLOOKUP(A48,'03114902'!A:AA,27,0)</f>
        <v>0</v>
      </c>
      <c r="R48" s="157">
        <f>VLOOKUP(A48,'03114902'!A:AB,28,0)</f>
        <v>0</v>
      </c>
    </row>
    <row r="49" spans="1:18" s="1" customFormat="1">
      <c r="A49" s="208">
        <f t="shared" si="0"/>
        <v>47</v>
      </c>
      <c r="B49" s="156">
        <f>VLOOKUP(A49,'03114902'!A:G,7,0)</f>
        <v>0</v>
      </c>
      <c r="C49" s="157" t="str">
        <f>VLOOKUP(A49,'03114902'!A:O,2,0)</f>
        <v/>
      </c>
      <c r="D49" s="157">
        <f>VLOOKUP(A49,'03114902'!A:I,9,0)</f>
        <v>0</v>
      </c>
      <c r="E49" s="157">
        <f>VLOOKUP(A49,'03114902'!A:L,12,0)</f>
        <v>0</v>
      </c>
      <c r="F49" s="157" t="str">
        <f>IFERROR(VLOOKUP(C49,FIDELIZAÇÃO!C:E,3,0),"")</f>
        <v/>
      </c>
      <c r="G49" s="157" t="str">
        <f>IFERROR(VLOOKUP(F49,FIDELIZAÇÃO!E:F,2,0),"")</f>
        <v/>
      </c>
      <c r="H49" s="157" t="str">
        <f>IFERROR(VLOOKUP(C49,FIDELIZAÇÃO!C:G,5,0),"")</f>
        <v/>
      </c>
      <c r="I49" s="225" t="str">
        <f>IFERROR(VLOOKUP(H49,FIDELIZAÇÃO!G:H,2,0),"")</f>
        <v/>
      </c>
      <c r="J49" s="157">
        <f>IFERROR(VLOOKUP(A49,'03114902'!A:X,24,0),"")</f>
        <v>0</v>
      </c>
      <c r="K49" s="225">
        <f>VLOOKUP(A49,'03114902'!A:AM,39,0)</f>
        <v>0</v>
      </c>
      <c r="L49" s="157">
        <f>VLOOKUP(A49,'03114902'!A:AN,40,0)</f>
        <v>0</v>
      </c>
      <c r="M49" s="223">
        <f>VLOOKUP(A49,'03114902'!A:V,22,0)</f>
        <v>0</v>
      </c>
      <c r="N49" s="224">
        <f>VLOOKUP(A49,'03114902'!A:W,23,0)</f>
        <v>0</v>
      </c>
      <c r="O49" s="157">
        <f>VLOOKUP(A49,'03114902'!A:Y,25,0)</f>
        <v>0</v>
      </c>
      <c r="P49" s="157">
        <f>VLOOKUP(A49,'03114902'!A:Z,26,0)</f>
        <v>0</v>
      </c>
      <c r="Q49" s="157">
        <f>VLOOKUP(A49,'03114902'!A:AA,27,0)</f>
        <v>0</v>
      </c>
      <c r="R49" s="157">
        <f>VLOOKUP(A49,'03114902'!A:AB,28,0)</f>
        <v>0</v>
      </c>
    </row>
    <row r="50" spans="1:18" s="1" customFormat="1">
      <c r="A50" s="208">
        <f t="shared" si="0"/>
        <v>48</v>
      </c>
      <c r="B50" s="156">
        <f>VLOOKUP(A50,'03114902'!A:G,7,0)</f>
        <v>0</v>
      </c>
      <c r="C50" s="157" t="str">
        <f>VLOOKUP(A50,'03114902'!A:O,2,0)</f>
        <v/>
      </c>
      <c r="D50" s="157">
        <f>VLOOKUP(A50,'03114902'!A:I,9,0)</f>
        <v>0</v>
      </c>
      <c r="E50" s="157">
        <f>VLOOKUP(A50,'03114902'!A:L,12,0)</f>
        <v>0</v>
      </c>
      <c r="F50" s="157" t="str">
        <f>IFERROR(VLOOKUP(C50,FIDELIZAÇÃO!C:E,3,0),"")</f>
        <v/>
      </c>
      <c r="G50" s="157" t="str">
        <f>IFERROR(VLOOKUP(F50,FIDELIZAÇÃO!E:F,2,0),"")</f>
        <v/>
      </c>
      <c r="H50" s="157" t="str">
        <f>IFERROR(VLOOKUP(C50,FIDELIZAÇÃO!C:G,5,0),"")</f>
        <v/>
      </c>
      <c r="I50" s="225" t="str">
        <f>IFERROR(VLOOKUP(H50,FIDELIZAÇÃO!G:H,2,0),"")</f>
        <v/>
      </c>
      <c r="J50" s="157">
        <f>IFERROR(VLOOKUP(A50,'03114902'!A:X,24,0),"")</f>
        <v>0</v>
      </c>
      <c r="K50" s="225">
        <f>VLOOKUP(A50,'03114902'!A:AM,39,0)</f>
        <v>0</v>
      </c>
      <c r="L50" s="157">
        <f>VLOOKUP(A50,'03114902'!A:AN,40,0)</f>
        <v>0</v>
      </c>
      <c r="M50" s="223">
        <f>VLOOKUP(A50,'03114902'!A:V,22,0)</f>
        <v>0</v>
      </c>
      <c r="N50" s="224">
        <f>VLOOKUP(A50,'03114902'!A:W,23,0)</f>
        <v>0</v>
      </c>
      <c r="O50" s="157">
        <f>VLOOKUP(A50,'03114902'!A:Y,25,0)</f>
        <v>0</v>
      </c>
      <c r="P50" s="157">
        <f>VLOOKUP(A50,'03114902'!A:Z,26,0)</f>
        <v>0</v>
      </c>
      <c r="Q50" s="157">
        <f>VLOOKUP(A50,'03114902'!A:AA,27,0)</f>
        <v>0</v>
      </c>
      <c r="R50" s="157">
        <f>VLOOKUP(A50,'03114902'!A:AB,28,0)</f>
        <v>0</v>
      </c>
    </row>
    <row r="51" spans="1:18" s="1" customFormat="1">
      <c r="A51" s="208">
        <f t="shared" si="0"/>
        <v>49</v>
      </c>
      <c r="B51" s="156">
        <f>VLOOKUP(A51,'03114902'!A:G,7,0)</f>
        <v>0</v>
      </c>
      <c r="C51" s="157" t="str">
        <f>VLOOKUP(A51,'03114902'!A:O,2,0)</f>
        <v/>
      </c>
      <c r="D51" s="157">
        <f>VLOOKUP(A51,'03114902'!A:I,9,0)</f>
        <v>0</v>
      </c>
      <c r="E51" s="157">
        <f>VLOOKUP(A51,'03114902'!A:L,12,0)</f>
        <v>0</v>
      </c>
      <c r="F51" s="157" t="str">
        <f>IFERROR(VLOOKUP(C51,FIDELIZAÇÃO!C:E,3,0),"")</f>
        <v/>
      </c>
      <c r="G51" s="157" t="str">
        <f>IFERROR(VLOOKUP(F51,FIDELIZAÇÃO!E:F,2,0),"")</f>
        <v/>
      </c>
      <c r="H51" s="157" t="str">
        <f>IFERROR(VLOOKUP(C51,FIDELIZAÇÃO!C:G,5,0),"")</f>
        <v/>
      </c>
      <c r="I51" s="225" t="str">
        <f>IFERROR(VLOOKUP(H51,FIDELIZAÇÃO!G:H,2,0),"")</f>
        <v/>
      </c>
      <c r="J51" s="157">
        <f>IFERROR(VLOOKUP(A51,'03114902'!A:X,24,0),"")</f>
        <v>0</v>
      </c>
      <c r="K51" s="225">
        <f>VLOOKUP(A51,'03114902'!A:AM,39,0)</f>
        <v>0</v>
      </c>
      <c r="L51" s="157">
        <f>VLOOKUP(A51,'03114902'!A:AN,40,0)</f>
        <v>0</v>
      </c>
      <c r="M51" s="223">
        <f>VLOOKUP(A51,'03114902'!A:V,22,0)</f>
        <v>0</v>
      </c>
      <c r="N51" s="224">
        <f>VLOOKUP(A51,'03114902'!A:W,23,0)</f>
        <v>0</v>
      </c>
      <c r="O51" s="157">
        <f>VLOOKUP(A51,'03114902'!A:Y,25,0)</f>
        <v>0</v>
      </c>
      <c r="P51" s="157">
        <f>VLOOKUP(A51,'03114902'!A:Z,26,0)</f>
        <v>0</v>
      </c>
      <c r="Q51" s="157">
        <f>VLOOKUP(A51,'03114902'!A:AA,27,0)</f>
        <v>0</v>
      </c>
      <c r="R51" s="157">
        <f>VLOOKUP(A51,'03114902'!A:AB,28,0)</f>
        <v>0</v>
      </c>
    </row>
    <row r="52" spans="1:18" s="1" customFormat="1" ht="15.75" customHeight="1">
      <c r="A52" s="208">
        <f t="shared" si="0"/>
        <v>50</v>
      </c>
      <c r="B52" s="156">
        <f>VLOOKUP(A52,'03114902'!A:G,7,0)</f>
        <v>0</v>
      </c>
      <c r="C52" s="157" t="str">
        <f>VLOOKUP(A52,'03114902'!A:O,2,0)</f>
        <v/>
      </c>
      <c r="D52" s="157">
        <f>VLOOKUP(A52,'03114902'!A:I,9,0)</f>
        <v>0</v>
      </c>
      <c r="E52" s="157">
        <f>VLOOKUP(A52,'03114902'!A:L,12,0)</f>
        <v>0</v>
      </c>
      <c r="F52" s="157" t="str">
        <f>IFERROR(VLOOKUP(C52,FIDELIZAÇÃO!C:E,3,0),"")</f>
        <v/>
      </c>
      <c r="G52" s="157" t="str">
        <f>IFERROR(VLOOKUP(F52,FIDELIZAÇÃO!E:F,2,0),"")</f>
        <v/>
      </c>
      <c r="H52" s="157" t="str">
        <f>IFERROR(VLOOKUP(C52,FIDELIZAÇÃO!C:G,5,0),"")</f>
        <v/>
      </c>
      <c r="I52" s="225" t="str">
        <f>IFERROR(VLOOKUP(H52,FIDELIZAÇÃO!G:H,2,0),"")</f>
        <v/>
      </c>
      <c r="J52" s="157">
        <f>IFERROR(VLOOKUP(A52,'03114902'!A:X,24,0),"")</f>
        <v>0</v>
      </c>
      <c r="K52" s="225">
        <f>VLOOKUP(A52,'03114902'!A:AM,39,0)</f>
        <v>0</v>
      </c>
      <c r="L52" s="157">
        <f>VLOOKUP(A52,'03114902'!A:AN,40,0)</f>
        <v>0</v>
      </c>
      <c r="M52" s="223">
        <f>VLOOKUP(A52,'03114902'!A:V,22,0)</f>
        <v>0</v>
      </c>
      <c r="N52" s="224">
        <f>VLOOKUP(A52,'03114902'!A:W,23,0)</f>
        <v>0</v>
      </c>
      <c r="O52" s="157">
        <f>VLOOKUP(A52,'03114902'!A:Y,25,0)</f>
        <v>0</v>
      </c>
      <c r="P52" s="157">
        <f>VLOOKUP(A52,'03114902'!A:Z,26,0)</f>
        <v>0</v>
      </c>
      <c r="Q52" s="157">
        <f>VLOOKUP(A52,'03114902'!A:AA,27,0)</f>
        <v>0</v>
      </c>
      <c r="R52" s="157">
        <f>VLOOKUP(A52,'03114902'!A:AB,28,0)</f>
        <v>0</v>
      </c>
    </row>
  </sheetData>
  <mergeCells count="1">
    <mergeCell ref="P1:R1"/>
  </mergeCells>
  <pageMargins left="0.25" right="0.25" top="0.75" bottom="0.75" header="0.3" footer="0.3"/>
  <pageSetup paperSize="9" scale="4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  <pageSetUpPr fitToPage="1"/>
  </sheetPr>
  <dimension ref="B1:Y66"/>
  <sheetViews>
    <sheetView showGridLines="0" topLeftCell="A14" zoomScale="73" zoomScaleNormal="73" workbookViewId="0">
      <selection activeCell="C18" sqref="C18"/>
    </sheetView>
  </sheetViews>
  <sheetFormatPr defaultColWidth="8.85546875" defaultRowHeight="15" outlineLevelCol="1"/>
  <cols>
    <col min="1" max="1" width="5.140625" style="165" customWidth="1"/>
    <col min="2" max="2" width="6.5703125" style="165" customWidth="1"/>
    <col min="3" max="3" width="9.5703125" style="165" bestFit="1" customWidth="1"/>
    <col min="4" max="4" width="5.5703125" style="165" customWidth="1"/>
    <col min="5" max="5" width="6.7109375" style="165" customWidth="1"/>
    <col min="6" max="6" width="38.42578125" style="165" customWidth="1"/>
    <col min="7" max="7" width="6.5703125" style="165" customWidth="1"/>
    <col min="8" max="8" width="35.5703125" style="165" bestFit="1" customWidth="1"/>
    <col min="9" max="9" width="10.42578125" style="165" customWidth="1"/>
    <col min="10" max="10" width="18.85546875" style="165" customWidth="1"/>
    <col min="11" max="11" width="10.42578125" style="165" bestFit="1" customWidth="1"/>
    <col min="12" max="12" width="4.5703125" style="165" customWidth="1"/>
    <col min="13" max="13" width="7.85546875" style="165" customWidth="1" outlineLevel="1"/>
    <col min="14" max="14" width="30.42578125" style="165" customWidth="1" outlineLevel="1"/>
    <col min="15" max="15" width="7.85546875" style="165" customWidth="1" outlineLevel="1"/>
    <col min="16" max="16" width="30.7109375" style="165" customWidth="1" outlineLevel="1"/>
    <col min="17" max="17" width="4.5703125" style="165" customWidth="1"/>
    <col min="18" max="18" width="6.5703125" style="165" customWidth="1" outlineLevel="1"/>
    <col min="19" max="19" width="30.42578125" style="165" customWidth="1" outlineLevel="1"/>
    <col min="20" max="20" width="12.42578125" style="165" customWidth="1" outlineLevel="1"/>
    <col min="21" max="21" width="10.42578125" style="165" customWidth="1" outlineLevel="1"/>
    <col min="22" max="22" width="6.5703125" style="165" customWidth="1" outlineLevel="1"/>
    <col min="23" max="23" width="29.5703125" style="165" customWidth="1" outlineLevel="1"/>
    <col min="24" max="24" width="13.5703125" style="165" customWidth="1" outlineLevel="1"/>
    <col min="25" max="25" width="10.42578125" style="165" customWidth="1" outlineLevel="1"/>
    <col min="26" max="16384" width="8.85546875" style="165"/>
  </cols>
  <sheetData>
    <row r="1" spans="2:25" ht="26.25">
      <c r="B1" s="166" t="s">
        <v>30</v>
      </c>
      <c r="N1" s="183"/>
      <c r="O1" s="184"/>
      <c r="P1" s="185"/>
    </row>
    <row r="2" spans="2:25">
      <c r="O2" s="186"/>
    </row>
    <row r="3" spans="2:25">
      <c r="B3" s="187" t="s">
        <v>31</v>
      </c>
      <c r="M3" s="187" t="s">
        <v>32</v>
      </c>
      <c r="R3" s="187" t="s">
        <v>33</v>
      </c>
    </row>
    <row r="4" spans="2:25">
      <c r="B4" s="10" t="s">
        <v>34</v>
      </c>
      <c r="C4" s="11" t="s">
        <v>35</v>
      </c>
      <c r="D4" s="11" t="s">
        <v>36</v>
      </c>
      <c r="E4" s="11" t="s">
        <v>37</v>
      </c>
      <c r="F4" s="11" t="s">
        <v>38</v>
      </c>
      <c r="G4" s="11" t="s">
        <v>39</v>
      </c>
      <c r="H4" s="11" t="s">
        <v>40</v>
      </c>
      <c r="I4" s="12" t="s">
        <v>41</v>
      </c>
      <c r="J4" s="11" t="s">
        <v>42</v>
      </c>
      <c r="K4" s="11" t="s">
        <v>43</v>
      </c>
      <c r="M4" s="10" t="s">
        <v>34</v>
      </c>
      <c r="N4" s="11" t="s">
        <v>38</v>
      </c>
      <c r="O4" s="11" t="s">
        <v>37</v>
      </c>
      <c r="P4" s="12" t="s">
        <v>40</v>
      </c>
      <c r="R4" s="10" t="s">
        <v>34</v>
      </c>
      <c r="S4" s="11" t="s">
        <v>38</v>
      </c>
      <c r="T4" s="11" t="s">
        <v>44</v>
      </c>
      <c r="U4" s="11" t="s">
        <v>45</v>
      </c>
      <c r="V4" s="11" t="s">
        <v>37</v>
      </c>
      <c r="W4" s="12" t="s">
        <v>40</v>
      </c>
      <c r="X4" s="11" t="s">
        <v>46</v>
      </c>
      <c r="Y4" s="11" t="s">
        <v>47</v>
      </c>
    </row>
    <row r="5" spans="2:25">
      <c r="B5" s="1">
        <v>1</v>
      </c>
      <c r="C5" s="256" t="s">
        <v>48</v>
      </c>
      <c r="D5" s="192">
        <v>241</v>
      </c>
      <c r="E5" s="238">
        <v>48</v>
      </c>
      <c r="F5" s="239" t="str">
        <f>IFERROR(VLOOKUP(E5,depara!A:B,2,0),"")</f>
        <v>SIDENEI GUERRA</v>
      </c>
      <c r="G5" s="242">
        <v>182</v>
      </c>
      <c r="H5" s="263" t="s">
        <v>49</v>
      </c>
      <c r="I5" s="267" t="str">
        <f>VLOOKUP(C5,'03114902'!B:B,1,0)</f>
        <v>FEU8905</v>
      </c>
      <c r="J5" s="1" t="str">
        <f>IFERROR(VLOOKUP(Tabela12[[#This Row],[COD]],depara!R:S,2,FALSE),"")</f>
        <v>ITAIPULANDIA</v>
      </c>
      <c r="K5" s="1" t="str">
        <f>IFERROR(IF(VLOOKUP(Tabela12[[#This Row],[PLACA]],'03114902'!B:U,20,FALSE) = "", "", VLOOKUP(Tabela12[[#This Row],[PLACA]],'03114902'!B:U,20,FALSE)),"")</f>
        <v>Padrao</v>
      </c>
      <c r="M5" s="242"/>
      <c r="N5" s="254" t="str">
        <f>IFERROR(VLOOKUP(M5,depara!A:B,2,0),"")</f>
        <v/>
      </c>
      <c r="O5" s="243"/>
      <c r="P5" s="244" t="str">
        <f>IFERROR(VLOOKUP(O5,depara!C:D,2,0),"")</f>
        <v/>
      </c>
      <c r="Q5" s="189" t="s">
        <v>50</v>
      </c>
      <c r="R5" s="250">
        <v>199</v>
      </c>
      <c r="S5" s="245" t="str">
        <f>IFERROR(VLOOKUP(R5,depara!A:B,2,0),"")</f>
        <v>JOSIAS VIEIRA DE OLIVEIRA</v>
      </c>
      <c r="T5" s="200">
        <v>46296</v>
      </c>
      <c r="U5" s="201">
        <f>IF(Tabela18[[#This Row],[DATA INICIAL]] = "","",Tabela18[[#This Row],[DATA INICIAL]]+30)</f>
        <v>46326</v>
      </c>
      <c r="V5" s="193">
        <v>157</v>
      </c>
      <c r="W5" s="198" t="str">
        <f>IFERROR(VLOOKUP(V5,depara!C:D,2,0),"")</f>
        <v>FRANECIR OLIVEIRA DA SILVA</v>
      </c>
      <c r="X5" s="200">
        <v>46296</v>
      </c>
      <c r="Y5" s="201">
        <f>IF(Tabela18[[#This Row],[DATA INICIAL2]] = "","",Tabela18[[#This Row],[DATA INICIAL2]]+30)</f>
        <v>46326</v>
      </c>
    </row>
    <row r="6" spans="2:25">
      <c r="B6" s="1">
        <f>B5+1</f>
        <v>2</v>
      </c>
      <c r="C6" s="256" t="s">
        <v>51</v>
      </c>
      <c r="D6" s="192">
        <v>210</v>
      </c>
      <c r="E6" s="238">
        <v>161</v>
      </c>
      <c r="F6" s="239" t="str">
        <f>IFERROR(VLOOKUP(E6,depara!A:B,2,0),"")</f>
        <v>ELSO VAZ DE OLIVEIRA</v>
      </c>
      <c r="G6" s="243">
        <v>161</v>
      </c>
      <c r="H6" s="263" t="s">
        <v>52</v>
      </c>
      <c r="I6" s="267" t="str">
        <f>VLOOKUP(C6,'03114902'!B:B,1,0)</f>
        <v>GIU0950</v>
      </c>
      <c r="J6" s="1" t="str">
        <f>IFERROR(VLOOKUP(Tabela12[[#This Row],[COD]],depara!R:S,2,FALSE),"")</f>
        <v>MED SUL</v>
      </c>
      <c r="K6" s="1" t="str">
        <f>IFERROR(IF(VLOOKUP(Tabela12[[#This Row],[PLACA]],'03114902'!B:U,20,FALSE) = "", "", VLOOKUP(Tabela12[[#This Row],[PLACA]],'03114902'!B:U,20,FALSE)),"")</f>
        <v>Padrao</v>
      </c>
      <c r="M6" s="242"/>
      <c r="N6" s="245" t="str">
        <f>IFERROR(VLOOKUP(M6,depara!A:B,2,0),"")</f>
        <v/>
      </c>
      <c r="O6" s="193"/>
      <c r="P6" s="245" t="str">
        <f>IFERROR(VLOOKUP(O6,depara!C:D,2,0),"")</f>
        <v/>
      </c>
      <c r="Q6" s="189" t="s">
        <v>50</v>
      </c>
      <c r="R6" s="242">
        <v>236</v>
      </c>
      <c r="S6" s="245" t="str">
        <f>IFERROR(VLOOKUP(R6,depara!A:B,2,0),"")</f>
        <v>ALEXANDRE LOPEZ</v>
      </c>
      <c r="T6" s="200">
        <v>46296</v>
      </c>
      <c r="U6" s="201">
        <f>IF(Tabela18[[#This Row],[DATA INICIAL]] = "","",Tabela18[[#This Row],[DATA INICIAL]]+30)</f>
        <v>46326</v>
      </c>
      <c r="V6" s="193"/>
      <c r="W6" s="198" t="str">
        <f>IFERROR(VLOOKUP(V6,depara!C:D,2,0),"")</f>
        <v/>
      </c>
      <c r="X6" s="200"/>
      <c r="Y6" s="201" t="str">
        <f>IF(Tabela18[[#This Row],[DATA INICIAL2]] = "","",Tabela18[[#This Row],[DATA INICIAL2]]+30)</f>
        <v/>
      </c>
    </row>
    <row r="7" spans="2:25">
      <c r="B7" s="1">
        <f t="shared" ref="B7:B10" si="0">B6+1</f>
        <v>3</v>
      </c>
      <c r="C7" s="256" t="s">
        <v>53</v>
      </c>
      <c r="D7" s="192">
        <v>201</v>
      </c>
      <c r="E7" s="238">
        <v>2</v>
      </c>
      <c r="F7" s="239" t="str">
        <f>IFERROR(VLOOKUP(E7,depara!A:B,2,0),"")</f>
        <v>ADAIR DE ALMEIDA</v>
      </c>
      <c r="G7" s="238"/>
      <c r="H7" s="239" t="str">
        <f>IFERROR(IFERROR(VLOOKUP(G7,depara!C:D,2,0),VLOOKUP(G7,depara!A:B,2,0)),"")</f>
        <v/>
      </c>
      <c r="I7" s="267" t="str">
        <f>VLOOKUP(C7,'03114902'!B:B,1,0)</f>
        <v>QJU2428</v>
      </c>
      <c r="J7" s="1" t="str">
        <f>IFERROR(VLOOKUP(Tabela12[[#This Row],[COD]],depara!R:S,2,FALSE),"")</f>
        <v>SÃO MIGUEL</v>
      </c>
      <c r="K7" s="1" t="str">
        <f>IFERROR(IF(VLOOKUP(Tabela12[[#This Row],[PLACA]],'03114902'!B:U,20,FALSE) = "", "", VLOOKUP(Tabela12[[#This Row],[PLACA]],'03114902'!B:U,20,FALSE)),"")</f>
        <v>Padrao</v>
      </c>
      <c r="M7" s="246"/>
      <c r="N7" s="245" t="str">
        <f>IFERROR(VLOOKUP(M7,depara!A:B,2,0),"")</f>
        <v/>
      </c>
      <c r="O7" s="193"/>
      <c r="P7" s="2" t="str">
        <f>IFERROR(VLOOKUP(O7,depara!C:D,2,0),"")</f>
        <v/>
      </c>
      <c r="Q7" s="189" t="s">
        <v>50</v>
      </c>
      <c r="R7" s="246">
        <v>295</v>
      </c>
      <c r="S7" s="245" t="str">
        <f>IFERROR(VLOOKUP(R7,depara!A:B,2,0),"")</f>
        <v>GIOVANI DE SOUZA ORTIZ</v>
      </c>
      <c r="T7" s="200">
        <v>46273</v>
      </c>
      <c r="U7" s="201">
        <f>IF(Tabela18[[#This Row],[DATA INICIAL]] = "","",Tabela18[[#This Row],[DATA INICIAL]]+30)</f>
        <v>46303</v>
      </c>
      <c r="V7" s="193"/>
      <c r="W7" s="198" t="str">
        <f>IFERROR(VLOOKUP(V7,depara!C:D,2,0),"")</f>
        <v/>
      </c>
      <c r="X7" s="200"/>
      <c r="Y7" s="201" t="str">
        <f>IF(Tabela18[[#This Row],[DATA INICIAL2]] = "","",Tabela18[[#This Row],[DATA INICIAL2]]+30)</f>
        <v/>
      </c>
    </row>
    <row r="8" spans="2:25">
      <c r="B8" s="1">
        <f t="shared" si="0"/>
        <v>4</v>
      </c>
      <c r="C8" s="256" t="s">
        <v>54</v>
      </c>
      <c r="D8" s="192">
        <v>220</v>
      </c>
      <c r="E8" s="238">
        <v>14</v>
      </c>
      <c r="F8" s="239" t="str">
        <f>IFERROR(VLOOKUP(E8,depara!A:B,2,0),"")</f>
        <v>OSMAR ANTONIO CAMARGO</v>
      </c>
      <c r="G8" s="238">
        <v>269</v>
      </c>
      <c r="H8" s="263" t="s">
        <v>55</v>
      </c>
      <c r="I8" s="267" t="str">
        <f>VLOOKUP(C8,'03114902'!B:B,1,0)</f>
        <v>FUE8714</v>
      </c>
      <c r="J8" s="1" t="str">
        <f>IFERROR(VLOOKUP(Tabela12[[#This Row],[COD]],depara!R:S,2,FALSE),"")</f>
        <v>MATELANDIA</v>
      </c>
      <c r="K8" s="1" t="str">
        <f>IFERROR(IF(VLOOKUP(Tabela12[[#This Row],[PLACA]],'03114902'!B:U,20,FALSE) = "", "", VLOOKUP(Tabela12[[#This Row],[PLACA]],'03114902'!B:U,20,FALSE)),"")</f>
        <v>Padrao</v>
      </c>
      <c r="M8" s="247"/>
      <c r="N8" s="245" t="str">
        <f>IFERROR(VLOOKUP(M8,depara!A:B,2,0),"")</f>
        <v/>
      </c>
      <c r="O8" s="193"/>
      <c r="P8" s="2" t="str">
        <f>IFERROR(VLOOKUP(O8,depara!C:D,2,0),"")</f>
        <v/>
      </c>
      <c r="Q8" s="189" t="s">
        <v>50</v>
      </c>
      <c r="R8" s="268">
        <v>298</v>
      </c>
      <c r="S8" s="2" t="str">
        <f>IFERROR(VLOOKUP(R8,depara!A:B,2,0),"")</f>
        <v>JIAN JORGE FRANCO</v>
      </c>
      <c r="T8" s="200">
        <v>46274</v>
      </c>
      <c r="U8" s="201">
        <f>IF(Tabela18[[#This Row],[DATA INICIAL]] = "","",Tabela18[[#This Row],[DATA INICIAL]]+30)</f>
        <v>46304</v>
      </c>
      <c r="V8" s="193"/>
      <c r="W8" s="198" t="str">
        <f>IFERROR(VLOOKUP(V8,depara!C:D,2,0),"")</f>
        <v/>
      </c>
      <c r="X8" s="200"/>
      <c r="Y8" s="201" t="str">
        <f>IF(Tabela18[[#This Row],[DATA INICIAL2]] = "","",Tabela18[[#This Row],[DATA INICIAL2]]+30)</f>
        <v/>
      </c>
    </row>
    <row r="9" spans="2:25">
      <c r="B9" s="1">
        <f t="shared" si="0"/>
        <v>5</v>
      </c>
      <c r="C9" s="256" t="s">
        <v>56</v>
      </c>
      <c r="D9" s="192">
        <v>230</v>
      </c>
      <c r="E9" s="238">
        <v>217</v>
      </c>
      <c r="F9" s="239" t="str">
        <f>IFERROR(VLOOKUP(E9,depara!A:B,2,0),"")</f>
        <v>FELIPE DE OLIVEIRA PORTO</v>
      </c>
      <c r="G9" s="238">
        <v>174</v>
      </c>
      <c r="H9" s="239" t="str">
        <f>IFERROR(IFERROR(VLOOKUP(G9,depara!C:D,2,0),VLOOKUP(G9,depara!A:B,2,0)),"")</f>
        <v>RODRIGO FIRMINO DE ABREU</v>
      </c>
      <c r="I9" s="267" t="str">
        <f>VLOOKUP(C9,'03114902'!B:B,1,0)</f>
        <v>FML6122</v>
      </c>
      <c r="J9" s="1" t="str">
        <f>IFERROR(VLOOKUP(Tabela12[[#This Row],[COD]],depara!R:S,2,FALSE),"")</f>
        <v>SJ DAS PALM</v>
      </c>
      <c r="K9" s="1" t="str">
        <f>IFERROR(IF(VLOOKUP(Tabela12[[#This Row],[PLACA]],'03114902'!B:U,20,FALSE) = "", "", VLOOKUP(Tabela12[[#This Row],[PLACA]],'03114902'!B:U,20,FALSE)),"")</f>
        <v>Padrao</v>
      </c>
      <c r="M9" s="247"/>
      <c r="N9" s="245" t="str">
        <f>IFERROR(VLOOKUP(M9,depara!A:B,2,0),"")</f>
        <v/>
      </c>
      <c r="O9" s="193"/>
      <c r="P9" s="2" t="str">
        <f>IFERROR(VLOOKUP(O9,depara!C:D,2,0),"")</f>
        <v/>
      </c>
      <c r="Q9" s="189" t="s">
        <v>50</v>
      </c>
      <c r="R9" s="268"/>
      <c r="S9" s="2" t="str">
        <f>IFERROR(VLOOKUP(R9,depara!A:B,2,0),"")</f>
        <v/>
      </c>
      <c r="T9" s="200"/>
      <c r="U9" s="201" t="str">
        <f>IF(Tabela18[[#This Row],[DATA INICIAL]] = "","",Tabela18[[#This Row],[DATA INICIAL]]+30)</f>
        <v/>
      </c>
      <c r="V9" s="193"/>
      <c r="W9" s="198" t="str">
        <f>IFERROR(VLOOKUP(V9,depara!C:D,2,0),"")</f>
        <v/>
      </c>
      <c r="X9" s="200"/>
      <c r="Y9" s="201" t="str">
        <f>IF(Tabela18[[#This Row],[DATA INICIAL2]] = "","",Tabela18[[#This Row],[DATA INICIAL2]]+30)</f>
        <v/>
      </c>
    </row>
    <row r="10" spans="2:25">
      <c r="B10" s="1">
        <f t="shared" si="0"/>
        <v>6</v>
      </c>
      <c r="C10" s="256" t="s">
        <v>57</v>
      </c>
      <c r="D10" s="192">
        <v>231</v>
      </c>
      <c r="E10" s="238">
        <v>15</v>
      </c>
      <c r="F10" s="239" t="str">
        <f>IFERROR(VLOOKUP(E10,depara!A:B,2,0),"")</f>
        <v>PAULO EDSON DE OLIVEIRA</v>
      </c>
      <c r="G10" s="238">
        <v>191</v>
      </c>
      <c r="H10" s="263" t="s">
        <v>58</v>
      </c>
      <c r="I10" s="267" t="str">
        <f>VLOOKUP(C10,'03114902'!B:B,1,0)</f>
        <v>FCO7153</v>
      </c>
      <c r="J10" s="1" t="str">
        <f>IFERROR(VLOOKUP(Tabela12[[#This Row],[COD]],depara!R:S,2,FALSE),"")</f>
        <v>STA HELENA</v>
      </c>
      <c r="K10" s="1" t="str">
        <f>IFERROR(IF(VLOOKUP(Tabela12[[#This Row],[PLACA]],'03114902'!B:U,20,FALSE) = "", "", VLOOKUP(Tabela12[[#This Row],[PLACA]],'03114902'!B:U,20,FALSE)),"")</f>
        <v>Padrao</v>
      </c>
      <c r="M10" s="247"/>
      <c r="N10" s="245" t="str">
        <f>IFERROR(VLOOKUP(M10,depara!A:B,2,0),"")</f>
        <v/>
      </c>
      <c r="O10" s="193"/>
      <c r="P10" s="245" t="str">
        <f>IFERROR(VLOOKUP(O10,depara!C:D,2,0),"")</f>
        <v/>
      </c>
      <c r="Q10" s="189" t="s">
        <v>50</v>
      </c>
      <c r="R10" s="268"/>
      <c r="S10" s="2" t="str">
        <f>IFERROR(VLOOKUP(R10,depara!A:B,2,0),"")</f>
        <v/>
      </c>
      <c r="T10" s="200"/>
      <c r="U10" s="201" t="str">
        <f>IF(Tabela18[[#This Row],[DATA INICIAL]] = "","",Tabela18[[#This Row],[DATA INICIAL]]+30)</f>
        <v/>
      </c>
      <c r="V10" s="193"/>
      <c r="W10" s="198" t="str">
        <f>IFERROR(VLOOKUP(V10,depara!C:D,2,0),"")</f>
        <v/>
      </c>
      <c r="X10" s="200"/>
      <c r="Y10" s="201" t="str">
        <f>IF(Tabela18[[#This Row],[DATA INICIAL2]] = "","",Tabela18[[#This Row],[DATA INICIAL2]]+30)</f>
        <v/>
      </c>
    </row>
    <row r="11" spans="2:25">
      <c r="B11" s="1">
        <v>7</v>
      </c>
      <c r="C11" s="256"/>
      <c r="D11" s="192">
        <v>250</v>
      </c>
      <c r="E11" s="238"/>
      <c r="F11" s="239" t="str">
        <f>IFERROR(VLOOKUP(E11,depara!A:B,2,0),"")</f>
        <v/>
      </c>
      <c r="G11" s="238"/>
      <c r="H11" s="239" t="str">
        <f>IFERROR(IFERROR(VLOOKUP(G11,depara!C:D,2,0),VLOOKUP(G11,depara!A:B,2,0)),"")</f>
        <v/>
      </c>
      <c r="I11" s="267" t="e">
        <f>VLOOKUP(C11,'03114902'!B:B,1,0)</f>
        <v>#N/A</v>
      </c>
      <c r="J11" s="1" t="str">
        <f>IFERROR(VLOOKUP(Tabela12[[#This Row],[COD]],depara!R:S,2,FALSE),"")</f>
        <v>CÉU AZUL</v>
      </c>
      <c r="K11" s="1" t="str">
        <f>IFERROR(IF(VLOOKUP(Tabela12[[#This Row],[PLACA]],'03114902'!B:U,20,FALSE) = "", "", VLOOKUP(Tabela12[[#This Row],[PLACA]],'03114902'!B:U,20,FALSE)),"")</f>
        <v/>
      </c>
      <c r="M11" s="247"/>
      <c r="N11" s="2" t="str">
        <f>IFERROR(VLOOKUP(M11,depara!A:B,2,0),"")</f>
        <v/>
      </c>
      <c r="O11" s="242"/>
      <c r="P11" s="2" t="str">
        <f>IFERROR(VLOOKUP(O11,depara!C:D,2,0),"")</f>
        <v/>
      </c>
      <c r="Q11" s="189" t="s">
        <v>50</v>
      </c>
      <c r="R11" s="268"/>
      <c r="S11" s="2" t="str">
        <f>IFERROR(VLOOKUP(R11,depara!A:B,2,0),"")</f>
        <v/>
      </c>
      <c r="T11" s="200"/>
      <c r="U11" s="201" t="str">
        <f>IF(Tabela18[[#This Row],[DATA INICIAL]] = "","",Tabela18[[#This Row],[DATA INICIAL]]+30)</f>
        <v/>
      </c>
      <c r="V11" s="194"/>
      <c r="W11" s="198" t="str">
        <f>IFERROR(VLOOKUP(V11,depara!C:D,2,0),"")</f>
        <v/>
      </c>
      <c r="X11" s="200"/>
      <c r="Y11" s="201" t="str">
        <f>IF(Tabela18[[#This Row],[DATA INICIAL2]] = "","",Tabela18[[#This Row],[DATA INICIAL2]]+30)</f>
        <v/>
      </c>
    </row>
    <row r="12" spans="2:25">
      <c r="B12" s="1"/>
      <c r="C12" s="238"/>
      <c r="D12" s="192"/>
      <c r="E12" s="238"/>
      <c r="F12" s="239" t="str">
        <f>IFERROR(VLOOKUP(E12,depara!A:B,2,0),"")</f>
        <v/>
      </c>
      <c r="G12" s="238"/>
      <c r="H12" s="239" t="str">
        <f>IFERROR(IFERROR(VLOOKUP(G12,depara!C:D,2,0),VLOOKUP(G12,depara!A:B,2,0)),"")</f>
        <v/>
      </c>
      <c r="I12" s="267" t="e">
        <f>VLOOKUP(C12,'03114902'!B:B,1,0)</f>
        <v>#N/A</v>
      </c>
      <c r="J12" s="1" t="str">
        <f>IFERROR(VLOOKUP(Tabela12[[#This Row],[COD]],depara!R:S,2,FALSE),"")</f>
        <v/>
      </c>
      <c r="K12" s="1" t="str">
        <f>IFERROR(IF(VLOOKUP(Tabela12[[#This Row],[PLACA]],'03114902'!B:U,20,FALSE) = "", "", VLOOKUP(Tabela12[[#This Row],[PLACA]],'03114902'!B:U,20,FALSE)),"")</f>
        <v/>
      </c>
      <c r="M12" s="247"/>
      <c r="N12" s="2" t="str">
        <f>IFERROR(VLOOKUP(M12,depara!A:B,2,0),"")</f>
        <v/>
      </c>
      <c r="O12" s="242"/>
      <c r="P12" s="2" t="str">
        <f>IFERROR(VLOOKUP(O12,depara!C:D,2,0),"")</f>
        <v/>
      </c>
      <c r="Q12" s="189" t="s">
        <v>50</v>
      </c>
      <c r="R12" s="187" t="s">
        <v>59</v>
      </c>
    </row>
    <row r="13" spans="2:25">
      <c r="B13" s="1"/>
      <c r="C13" s="238"/>
      <c r="D13" s="192"/>
      <c r="E13" s="238"/>
      <c r="F13" s="239" t="str">
        <f>IFERROR(VLOOKUP(E13,depara!A:B,2,0),"")</f>
        <v/>
      </c>
      <c r="G13" s="238"/>
      <c r="H13" s="239" t="str">
        <f>IFERROR(IFERROR(VLOOKUP(G13,depara!C:D,2,0),VLOOKUP(G13,depara!A:B,2,0)),"")</f>
        <v/>
      </c>
      <c r="I13" s="267" t="e">
        <f>VLOOKUP(C13,'03114902'!B:B,1,0)</f>
        <v>#N/A</v>
      </c>
      <c r="J13" s="1" t="str">
        <f>IFERROR(VLOOKUP(Tabela12[[#This Row],[COD]],depara!R:S,2,FALSE),"")</f>
        <v/>
      </c>
      <c r="K13" s="1" t="str">
        <f>IFERROR(IF(VLOOKUP(Tabela12[[#This Row],[PLACA]],'03114902'!B:U,20,FALSE) = "", "", VLOOKUP(Tabela12[[#This Row],[PLACA]],'03114902'!B:U,20,FALSE)),"")</f>
        <v/>
      </c>
      <c r="M13" s="247"/>
      <c r="N13" s="240" t="str">
        <f>IFERROR(VLOOKUP(M13,depara!A:B,2,0),"")</f>
        <v/>
      </c>
      <c r="O13" s="242"/>
      <c r="P13" s="2" t="str">
        <f>IFERROR(VLOOKUP(O13,depara!C:D,2,0),"")</f>
        <v/>
      </c>
      <c r="Q13" s="189" t="s">
        <v>50</v>
      </c>
      <c r="R13" s="161" t="s">
        <v>34</v>
      </c>
      <c r="S13" s="161" t="s">
        <v>38</v>
      </c>
      <c r="T13" s="287" t="s">
        <v>44</v>
      </c>
      <c r="U13" s="283"/>
      <c r="V13" s="161" t="s">
        <v>37</v>
      </c>
      <c r="W13" s="162" t="s">
        <v>40</v>
      </c>
      <c r="X13" s="282" t="s">
        <v>44</v>
      </c>
      <c r="Y13" s="283"/>
    </row>
    <row r="14" spans="2:25">
      <c r="B14" s="1"/>
      <c r="C14" s="191"/>
      <c r="D14" s="192"/>
      <c r="E14" s="238"/>
      <c r="F14" s="239" t="str">
        <f>IFERROR(VLOOKUP(E14,depara!A:B,2,0),"")</f>
        <v/>
      </c>
      <c r="G14" s="238"/>
      <c r="H14" s="239" t="str">
        <f>IFERROR(IFERROR(VLOOKUP(G14,depara!C:D,2,0),VLOOKUP(G14,depara!A:B,2,0)),"")</f>
        <v/>
      </c>
      <c r="I14" s="267" t="e">
        <f>VLOOKUP(C14,'03114902'!B:B,1,0)</f>
        <v>#N/A</v>
      </c>
      <c r="J14" s="1" t="str">
        <f>IFERROR(VLOOKUP(Tabela12[[#This Row],[COD]],depara!R:S,2,FALSE),"")</f>
        <v/>
      </c>
      <c r="K14" s="1" t="str">
        <f>IFERROR(IF(VLOOKUP(Tabela12[[#This Row],[PLACA]],'03114902'!B:U,20,FALSE) = "", "", VLOOKUP(Tabela12[[#This Row],[PLACA]],'03114902'!B:U,20,FALSE)),"")</f>
        <v/>
      </c>
      <c r="M14" s="247"/>
      <c r="N14" s="240" t="str">
        <f>IFERROR(VLOOKUP(M14,depara!A:B,2,0),"")</f>
        <v/>
      </c>
      <c r="O14" s="242"/>
      <c r="P14" s="2" t="str">
        <f>IFERROR(VLOOKUP(O14,depara!C:D,2,0),"")</f>
        <v/>
      </c>
      <c r="Q14" s="189"/>
      <c r="R14" s="202"/>
      <c r="S14" s="2" t="str">
        <f>IFERROR(VLOOKUP(R14,depara!A:B,2,0),"")</f>
        <v/>
      </c>
      <c r="T14" s="280"/>
      <c r="U14" s="281"/>
      <c r="V14" s="193">
        <v>188</v>
      </c>
      <c r="W14" s="206" t="str">
        <f>IFERROR(VLOOKUP(V14,depara!C:D,2,0),"")</f>
        <v>KEVIN RAMON FERREIRA MARTINEZ</v>
      </c>
      <c r="X14" s="284">
        <v>46289</v>
      </c>
      <c r="Y14" s="281"/>
    </row>
    <row r="15" spans="2:25">
      <c r="B15" s="187" t="s">
        <v>60</v>
      </c>
      <c r="C15" s="232"/>
      <c r="E15" s="237"/>
      <c r="F15" s="237"/>
      <c r="G15" s="237"/>
      <c r="H15" s="237"/>
      <c r="M15" s="247"/>
      <c r="N15" s="240" t="str">
        <f>IFERROR(VLOOKUP(M15,depara!A:B,2,0),"")</f>
        <v/>
      </c>
      <c r="O15" s="242"/>
      <c r="P15" s="2" t="str">
        <f>IFERROR(VLOOKUP(O15,depara!C:D,2,0),"")</f>
        <v/>
      </c>
      <c r="Q15" s="189"/>
      <c r="R15" s="204"/>
      <c r="S15" s="205" t="str">
        <f>IFERROR(VLOOKUP(R15,depara!A:B,2,0),"")</f>
        <v/>
      </c>
      <c r="T15" s="288"/>
      <c r="U15" s="286"/>
      <c r="V15" s="204"/>
      <c r="W15" s="206" t="str">
        <f>IFERROR(VLOOKUP(V15,depara!C:D,2,0),"")</f>
        <v/>
      </c>
      <c r="X15" s="285"/>
      <c r="Y15" s="286"/>
    </row>
    <row r="16" spans="2:25">
      <c r="B16" s="230" t="s">
        <v>34</v>
      </c>
      <c r="C16" s="231" t="s">
        <v>35</v>
      </c>
      <c r="D16" s="231" t="s">
        <v>36</v>
      </c>
      <c r="E16" s="11" t="s">
        <v>37</v>
      </c>
      <c r="F16" s="11" t="s">
        <v>38</v>
      </c>
      <c r="G16" s="11" t="s">
        <v>39</v>
      </c>
      <c r="H16" s="11" t="s">
        <v>40</v>
      </c>
      <c r="I16" s="12" t="s">
        <v>41</v>
      </c>
      <c r="J16" s="11" t="s">
        <v>42</v>
      </c>
      <c r="K16" s="11" t="s">
        <v>43</v>
      </c>
      <c r="M16" s="246"/>
      <c r="N16" s="244" t="str">
        <f>IFERROR(VLOOKUP(M16,depara!A:B,2,0),"")</f>
        <v/>
      </c>
      <c r="O16" s="242"/>
      <c r="P16" s="2" t="str">
        <f>IFERROR(VLOOKUP(O16,depara!C:D,2,0),"")</f>
        <v/>
      </c>
      <c r="Q16" s="189" t="s">
        <v>50</v>
      </c>
      <c r="R16" s="193"/>
      <c r="S16" s="2" t="str">
        <f>IFERROR(VLOOKUP(R16,depara!A:B,2,0),"")</f>
        <v/>
      </c>
      <c r="T16" s="280"/>
      <c r="U16" s="281"/>
      <c r="V16" s="193"/>
      <c r="W16" s="206" t="str">
        <f>IFERROR(VLOOKUP(V16,depara!C:D,2,0),"")</f>
        <v/>
      </c>
      <c r="X16" s="284"/>
      <c r="Y16" s="281"/>
    </row>
    <row r="17" spans="2:25">
      <c r="B17" s="1">
        <v>1</v>
      </c>
      <c r="C17" s="238" t="s">
        <v>61</v>
      </c>
      <c r="D17" s="192">
        <v>131</v>
      </c>
      <c r="E17" s="241">
        <v>5</v>
      </c>
      <c r="F17" s="252" t="str">
        <f>IFERROR(VLOOKUP(E17,depara!A:B,2,0),"")</f>
        <v>ADEMAR BERGMANN TELES</v>
      </c>
      <c r="G17" s="238"/>
      <c r="H17" s="239" t="str">
        <f>IFERROR(IFERROR(VLOOKUP(G17,depara!C:D,2,0),VLOOKUP(G17,depara!A:B,2,0)),"")</f>
        <v/>
      </c>
      <c r="I17" s="267" t="str">
        <f>VLOOKUP(C17,'03114902'!B:B,1,0)</f>
        <v>RTI1I17</v>
      </c>
      <c r="J17" s="1" t="str">
        <f>IFERROR(VLOOKUP(Tabela13[[#This Row],[COD]],depara!R:S,2,FALSE),"")</f>
        <v>MARACANÃ</v>
      </c>
      <c r="K17" s="1" t="str">
        <f>IFERROR(IF(VLOOKUP(Tabela13[[#This Row],[PLACA]],'03114902'!B:U,20,FALSE) = "", "", VLOOKUP(Tabela13[[#This Row],[PLACA]],'03114902'!B:U,20,FALSE)),"")</f>
        <v>Padrao</v>
      </c>
      <c r="M17" s="246"/>
      <c r="N17" s="2" t="str">
        <f>IFERROR(VLOOKUP(M17,depara!A:B,2,0),"")</f>
        <v/>
      </c>
      <c r="O17" s="242"/>
      <c r="P17" s="2" t="str">
        <f>IFERROR(VLOOKUP(O17,depara!C:D,2,0),"")</f>
        <v/>
      </c>
      <c r="Q17" s="189" t="s">
        <v>50</v>
      </c>
      <c r="R17" s="204"/>
      <c r="S17" s="205" t="str">
        <f>IFERROR(VLOOKUP(R17,depara!A:B,2,0),"")</f>
        <v/>
      </c>
      <c r="T17" s="288"/>
      <c r="U17" s="286"/>
      <c r="V17" s="204"/>
      <c r="W17" s="206" t="str">
        <f>IFERROR(VLOOKUP(V17,depara!C:D,2,0),"")</f>
        <v/>
      </c>
      <c r="X17" s="285"/>
      <c r="Y17" s="286"/>
    </row>
    <row r="18" spans="2:25">
      <c r="B18" s="1">
        <v>8</v>
      </c>
      <c r="C18" s="256" t="s">
        <v>62</v>
      </c>
      <c r="D18" s="192">
        <v>200</v>
      </c>
      <c r="E18" s="238">
        <v>208</v>
      </c>
      <c r="F18" s="239" t="str">
        <f>IFERROR(VLOOKUP(E18,depara!A:B,2,0),"")</f>
        <v>MAICON CARVALHO</v>
      </c>
      <c r="G18" s="238">
        <v>277</v>
      </c>
      <c r="H18" s="263" t="s">
        <v>63</v>
      </c>
      <c r="I18" s="267" t="str">
        <f>VLOOKUP(C18,'03114902'!B:B,1,0)</f>
        <v>RKW7G77</v>
      </c>
      <c r="J18" s="1" t="str">
        <f>IFERROR(VLOOKUP(Tabela13[[#This Row],[COD]],depara!R:S,2,FALSE),"")</f>
        <v>STA TEREZINHA</v>
      </c>
      <c r="K18" s="1" t="str">
        <f>IFERROR(IF(VLOOKUP(Tabela13[[#This Row],[PLACA]],'03114902'!B:U,20,FALSE) = "", "", VLOOKUP(Tabela13[[#This Row],[PLACA]],'03114902'!B:U,20,FALSE)),"")</f>
        <v>Padrao</v>
      </c>
      <c r="M18" s="246"/>
      <c r="N18" s="2" t="str">
        <f>IFERROR(VLOOKUP(M18,depara!A:B,2,0),"")</f>
        <v/>
      </c>
      <c r="O18" s="242"/>
      <c r="P18" s="2" t="str">
        <f>IFERROR(VLOOKUP(O18,depara!C:D,2,0),"")</f>
        <v/>
      </c>
      <c r="Q18" s="189" t="s">
        <v>50</v>
      </c>
      <c r="R18" s="221"/>
      <c r="S18" s="222" t="str">
        <f>IFERROR(VLOOKUP(R18,depara!A:B,2,0),"")</f>
        <v/>
      </c>
      <c r="T18" s="280"/>
      <c r="U18" s="281"/>
      <c r="V18" s="193"/>
      <c r="W18" s="203" t="str">
        <f>IFERROR(VLOOKUP(V18,depara!C:D,2,0),"")</f>
        <v/>
      </c>
      <c r="X18" s="284"/>
      <c r="Y18" s="281"/>
    </row>
    <row r="19" spans="2:25">
      <c r="B19" s="1">
        <f>B18+1</f>
        <v>9</v>
      </c>
      <c r="C19" s="256" t="s">
        <v>64</v>
      </c>
      <c r="D19" s="192">
        <v>111</v>
      </c>
      <c r="E19" s="243">
        <v>286</v>
      </c>
      <c r="F19" s="239" t="str">
        <f>IFERROR(VLOOKUP(E19,depara!A:B,2,0),"")</f>
        <v>MATHEUS LEONARDO DE SESARO</v>
      </c>
      <c r="G19" s="238">
        <v>10</v>
      </c>
      <c r="H19" s="263" t="s">
        <v>65</v>
      </c>
      <c r="I19" s="267" t="str">
        <f>VLOOKUP(C19,'03114902'!B:B,1,0)</f>
        <v>GHK2F66</v>
      </c>
      <c r="J19" s="1" t="str">
        <f>IFERROR(VLOOKUP(Tabela13[[#This Row],[COD]],depara!R:S,2,FALSE),"")</f>
        <v xml:space="preserve">VILA A </v>
      </c>
      <c r="K19" s="1" t="str">
        <f>IFERROR(IF(VLOOKUP(Tabela13[[#This Row],[PLACA]],'03114902'!B:U,20,FALSE) = "", "", VLOOKUP(Tabela13[[#This Row],[PLACA]],'03114902'!B:U,20,FALSE)),"")</f>
        <v>Padrao</v>
      </c>
      <c r="M19" s="253">
        <v>202</v>
      </c>
      <c r="N19" s="254" t="str">
        <f>IFERROR(VLOOKUP(M19,depara!A:B,2,0),"")</f>
        <v>CARLOS HENRIQUE OLIVEIRA DOS SANTOS</v>
      </c>
      <c r="O19" s="255">
        <v>172</v>
      </c>
      <c r="P19" s="254" t="str">
        <f>IFERROR(VLOOKUP(O19,depara!C:D,2,0),"")</f>
        <v>EDUARDO GABRIEL FRANCO</v>
      </c>
      <c r="Q19" s="189" t="s">
        <v>50</v>
      </c>
      <c r="R19" s="187" t="s">
        <v>66</v>
      </c>
    </row>
    <row r="20" spans="2:25">
      <c r="B20" s="1">
        <f t="shared" ref="B20:B31" si="1">B19+1</f>
        <v>10</v>
      </c>
      <c r="C20" s="256" t="s">
        <v>67</v>
      </c>
      <c r="D20" s="192">
        <v>110</v>
      </c>
      <c r="E20" s="242">
        <v>86</v>
      </c>
      <c r="F20" s="239" t="str">
        <f>IFERROR(VLOOKUP(E20,depara!A:B,2,0),"")</f>
        <v>LUCAS DA CRUZ SALOMAO</v>
      </c>
      <c r="G20" s="242">
        <v>162</v>
      </c>
      <c r="H20" s="239" t="str">
        <f>IFERROR(IFERROR(VLOOKUP(G20,depara!C:D,2,0),VLOOKUP(G20,depara!A:B,2,0)),"")</f>
        <v>EDUARDO EUZEBIO DOS SANTOS</v>
      </c>
      <c r="I20" s="267" t="str">
        <f>VLOOKUP(C20,'03114902'!B:B,1,0)</f>
        <v>GAU0G73</v>
      </c>
      <c r="J20" s="1" t="str">
        <f>IFERROR(VLOOKUP(Tabela13[[#This Row],[COD]],depara!R:S,2,FALSE),"")</f>
        <v>VILA C</v>
      </c>
      <c r="K20" s="1" t="str">
        <f>IFERROR(IF(VLOOKUP(Tabela13[[#This Row],[PLACA]],'03114902'!B:U,20,FALSE) = "", "", VLOOKUP(Tabela13[[#This Row],[PLACA]],'03114902'!B:U,20,FALSE)),"")</f>
        <v>Padrao</v>
      </c>
      <c r="M20" s="253">
        <v>192</v>
      </c>
      <c r="N20" s="254" t="str">
        <f>IFERROR(VLOOKUP(M20,depara!A:B,2,0),"")</f>
        <v>CELIO MEDEIROS MOREIRA</v>
      </c>
      <c r="O20" s="255">
        <v>9</v>
      </c>
      <c r="P20" s="254" t="str">
        <f>IFERROR(VLOOKUP(O20,depara!C:D,2,0),"")</f>
        <v>JOSE MARIA GONZAGA</v>
      </c>
      <c r="Q20" s="189" t="s">
        <v>50</v>
      </c>
      <c r="R20" s="278" t="s">
        <v>35</v>
      </c>
      <c r="S20" s="279"/>
      <c r="T20" s="189" t="s">
        <v>50</v>
      </c>
    </row>
    <row r="21" spans="2:25">
      <c r="B21" s="1">
        <f t="shared" si="1"/>
        <v>11</v>
      </c>
      <c r="C21" s="256" t="s">
        <v>68</v>
      </c>
      <c r="D21" s="192">
        <v>100</v>
      </c>
      <c r="E21" s="238">
        <v>107</v>
      </c>
      <c r="F21" s="239" t="str">
        <f>IFERROR(VLOOKUP(E21,depara!A:B,2,0),"")</f>
        <v>DEOCLIDES RODRIGUES SILVA DA CRUZ</v>
      </c>
      <c r="G21" s="238">
        <v>163</v>
      </c>
      <c r="H21" s="239" t="str">
        <f>IFERROR(IFERROR(VLOOKUP(G21,depara!C:D,2,0),VLOOKUP(G21,depara!A:B,2,0)),"")</f>
        <v>WELLINTON DO NASCIMENTO STEIN</v>
      </c>
      <c r="I21" s="267" t="str">
        <f>VLOOKUP(C21,'03114902'!B:B,1,0)</f>
        <v>QJU2F48</v>
      </c>
      <c r="J21" s="1" t="str">
        <f>IFERROR(VLOOKUP(Tabela13[[#This Row],[COD]],depara!R:S,2,FALSE),"")</f>
        <v>TRÊS LAGOAS</v>
      </c>
      <c r="K21" s="1" t="str">
        <f>IFERROR(IF(VLOOKUP(Tabela13[[#This Row],[PLACA]],'03114902'!B:U,20,FALSE) = "", "", VLOOKUP(Tabela13[[#This Row],[PLACA]],'03114902'!B:U,20,FALSE)),"")</f>
        <v>Padrao</v>
      </c>
      <c r="M21" s="253">
        <v>209</v>
      </c>
      <c r="N21" s="254" t="str">
        <f>IFERROR(VLOOKUP(M21,depara!A:B,2,0),"")</f>
        <v>JOSENILSON COIMBRA DOS SANTOS</v>
      </c>
      <c r="O21" s="255">
        <v>180</v>
      </c>
      <c r="P21" s="254" t="str">
        <f>IFERROR(VLOOKUP(O21,depara!C:D,2,0),"")</f>
        <v xml:space="preserve">WILLIAM DOS SANTOS </v>
      </c>
      <c r="Q21" s="189" t="s">
        <v>50</v>
      </c>
      <c r="R21" s="274" t="str">
        <f>IF(depara!X4 = 0, "",depara!X4)</f>
        <v>CUH3C06</v>
      </c>
      <c r="S21" s="275"/>
      <c r="T21" s="189" t="s">
        <v>50</v>
      </c>
    </row>
    <row r="22" spans="2:25">
      <c r="B22" s="1">
        <f t="shared" si="1"/>
        <v>12</v>
      </c>
      <c r="C22" s="256" t="s">
        <v>69</v>
      </c>
      <c r="D22" s="192">
        <v>114</v>
      </c>
      <c r="E22" s="238">
        <v>294</v>
      </c>
      <c r="F22" s="239" t="str">
        <f>IFERROR(VLOOKUP(E22,depara!A:B,2,0),"")</f>
        <v>FERNANDO ALVES DE OLIVEIRA</v>
      </c>
      <c r="G22" s="243">
        <v>164</v>
      </c>
      <c r="H22" s="239" t="str">
        <f>IFERROR(IFERROR(VLOOKUP(G22,depara!C:D,2,0),VLOOKUP(G22,depara!A:B,2,0)),"")</f>
        <v>FABIO SILVA DE LIMA</v>
      </c>
      <c r="I22" s="267" t="str">
        <f>VLOOKUP(C22,'03114902'!B:B,1,0)</f>
        <v>QJT3668</v>
      </c>
      <c r="J22" s="1" t="str">
        <f>IFERROR(VLOOKUP(Tabela13[[#This Row],[COD]],depara!R:S,2,FALSE),"")</f>
        <v>JD AMERICA</v>
      </c>
      <c r="K22" s="1" t="str">
        <f>IFERROR(IF(VLOOKUP(Tabela13[[#This Row],[PLACA]],'03114902'!B:U,20,FALSE) = "", "", VLOOKUP(Tabela13[[#This Row],[PLACA]],'03114902'!B:U,20,FALSE)),"")</f>
        <v>Padrao</v>
      </c>
      <c r="L22" s="189" t="s">
        <v>50</v>
      </c>
      <c r="M22" s="246"/>
      <c r="N22" s="245" t="str">
        <f>IFERROR(VLOOKUP(M22,depara!A:B,2,0),"")</f>
        <v/>
      </c>
      <c r="O22" s="251"/>
      <c r="P22" s="244" t="str">
        <f>IFERROR(VLOOKUP(O22,depara!C:D,2,0),"")</f>
        <v/>
      </c>
      <c r="Q22" s="189" t="s">
        <v>50</v>
      </c>
      <c r="R22" s="274" t="str">
        <f>IF(depara!X5 = 0, "",depara!X5)</f>
        <v>FCR7H56</v>
      </c>
      <c r="S22" s="275"/>
      <c r="T22" s="189" t="s">
        <v>50</v>
      </c>
    </row>
    <row r="23" spans="2:25">
      <c r="B23" s="1">
        <f t="shared" si="1"/>
        <v>13</v>
      </c>
      <c r="C23" s="256" t="s">
        <v>70</v>
      </c>
      <c r="D23" s="192">
        <v>134</v>
      </c>
      <c r="E23" s="242">
        <v>34</v>
      </c>
      <c r="F23" s="239" t="str">
        <f>IFERROR(VLOOKUP(E23,depara!A:B,2,0),"")</f>
        <v>ERIVALDO UMBERTO DOS SANTOS</v>
      </c>
      <c r="G23" s="242">
        <v>178</v>
      </c>
      <c r="H23" s="239" t="str">
        <f>IFERROR(IFERROR(VLOOKUP(G23,depara!C:D,2,0),VLOOKUP(G23,depara!A:B,2,0)),"")</f>
        <v>JONAS ALVES DA SILVA</v>
      </c>
      <c r="I23" s="267" t="str">
        <f>VLOOKUP(C23,'03114902'!B:B,1,0)</f>
        <v>UDI4C07</v>
      </c>
      <c r="J23" s="1" t="str">
        <f>IFERROR(VLOOKUP(Tabela13[[#This Row],[COD]],depara!R:S,2,FALSE),"")</f>
        <v>PORTAL</v>
      </c>
      <c r="K23" s="1" t="str">
        <f>IFERROR(IF(VLOOKUP(Tabela13[[#This Row],[PLACA]],'03114902'!B:U,20,FALSE) = "", "", VLOOKUP(Tabela13[[#This Row],[PLACA]],'03114902'!B:U,20,FALSE)),"")</f>
        <v>Padrao</v>
      </c>
      <c r="M23" s="187" t="s">
        <v>71</v>
      </c>
      <c r="O23" s="175"/>
      <c r="P23" s="165" t="str">
        <f>IFERROR(VLOOKUP(O23,depara!C:D,2,0),"")</f>
        <v/>
      </c>
      <c r="Q23" s="189" t="s">
        <v>50</v>
      </c>
      <c r="R23" s="274" t="str">
        <f>IF(depara!X6 = 0, "",depara!X6)</f>
        <v>FUX6061</v>
      </c>
      <c r="S23" s="275"/>
      <c r="T23" s="189" t="s">
        <v>50</v>
      </c>
    </row>
    <row r="24" spans="2:25">
      <c r="B24" s="1">
        <f t="shared" si="1"/>
        <v>14</v>
      </c>
      <c r="C24" s="256" t="s">
        <v>72</v>
      </c>
      <c r="D24" s="192">
        <v>200</v>
      </c>
      <c r="E24" s="238">
        <v>90</v>
      </c>
      <c r="F24" s="239" t="str">
        <f>IFERROR(VLOOKUP(E24,depara!A:B,2,0),"")</f>
        <v>KEBERSON PAULO TROIAN</v>
      </c>
      <c r="G24" s="243">
        <v>296</v>
      </c>
      <c r="H24" s="263" t="s">
        <v>73</v>
      </c>
      <c r="I24" s="267" t="str">
        <f>VLOOKUP(C24,'03114902'!B:B,1,0)</f>
        <v>FCA8H37</v>
      </c>
      <c r="J24" s="1" t="str">
        <f>IFERROR(VLOOKUP(Tabela13[[#This Row],[COD]],depara!R:S,2,FALSE),"")</f>
        <v>STA TEREZINHA</v>
      </c>
      <c r="K24" s="1" t="str">
        <f>IFERROR(IF(VLOOKUP(Tabela13[[#This Row],[PLACA]],'03114902'!B:U,20,FALSE) = "", "", VLOOKUP(Tabela13[[#This Row],[PLACA]],'03114902'!B:U,20,FALSE)),"")</f>
        <v>Padrao</v>
      </c>
      <c r="M24" s="10" t="s">
        <v>74</v>
      </c>
      <c r="N24" s="11" t="s">
        <v>75</v>
      </c>
      <c r="O24" s="11" t="s">
        <v>76</v>
      </c>
      <c r="P24" s="12" t="s">
        <v>77</v>
      </c>
      <c r="Q24" s="189" t="s">
        <v>50</v>
      </c>
      <c r="R24" s="274" t="str">
        <f>IF(depara!X7 = 0, "",depara!X7)</f>
        <v>FXZ0966</v>
      </c>
      <c r="S24" s="275"/>
      <c r="T24" s="189" t="s">
        <v>50</v>
      </c>
    </row>
    <row r="25" spans="2:25">
      <c r="B25" s="1">
        <f t="shared" si="1"/>
        <v>15</v>
      </c>
      <c r="C25" s="256" t="s">
        <v>78</v>
      </c>
      <c r="D25" s="192">
        <v>101</v>
      </c>
      <c r="E25" s="238">
        <v>285</v>
      </c>
      <c r="F25" s="239" t="str">
        <f>IFERROR(VLOOKUP(E25,depara!A:B,2,0),"")</f>
        <v>FELIPE MORAIS DE SOUZA</v>
      </c>
      <c r="G25" s="242">
        <v>189</v>
      </c>
      <c r="H25" s="263" t="s">
        <v>79</v>
      </c>
      <c r="I25" s="267" t="str">
        <f>VLOOKUP(C25,'03114902'!B:B,1,0)</f>
        <v>GKF6739</v>
      </c>
      <c r="J25" s="1" t="str">
        <f>IFERROR(VLOOKUP(Tabela13[[#This Row],[COD]],depara!R:S,2,FALSE),"")</f>
        <v>TRES BANDEIRAS</v>
      </c>
      <c r="K25" s="1" t="str">
        <f>IFERROR(IF(VLOOKUP(Tabela13[[#This Row],[PLACA]],'03114902'!B:U,20,FALSE) = "", "", VLOOKUP(Tabela13[[#This Row],[PLACA]],'03114902'!B:U,20,FALSE)),"")</f>
        <v>Padrao</v>
      </c>
      <c r="M25" s="197">
        <f>COUNTIF(J5:J31,Tabela7[[#This Row],[REGIÃO]])</f>
        <v>1</v>
      </c>
      <c r="N25" s="192" t="s">
        <v>80</v>
      </c>
      <c r="O25" s="193">
        <f>COUNTIF(J5:J31,Tabela7[[#This Row],[REGIÃO3]])</f>
        <v>1</v>
      </c>
      <c r="P25" s="198" t="s">
        <v>81</v>
      </c>
      <c r="Q25" s="189" t="s">
        <v>50</v>
      </c>
      <c r="R25" s="274" t="s">
        <v>82</v>
      </c>
      <c r="S25" s="275"/>
      <c r="T25" s="189" t="s">
        <v>50</v>
      </c>
    </row>
    <row r="26" spans="2:25">
      <c r="B26" s="1">
        <f t="shared" si="1"/>
        <v>16</v>
      </c>
      <c r="C26" s="256" t="s">
        <v>83</v>
      </c>
      <c r="D26" s="192">
        <v>120</v>
      </c>
      <c r="E26" s="238">
        <v>304</v>
      </c>
      <c r="F26" s="239" t="str">
        <f>IFERROR(VLOOKUP(E26,depara!A:B,2,0),"")</f>
        <v xml:space="preserve">DIEGO SANTIN </v>
      </c>
      <c r="G26" s="242">
        <v>183</v>
      </c>
      <c r="H26" s="239" t="str">
        <f>IFERROR(IFERROR(VLOOKUP(G26,depara!C:D,2,0),VLOOKUP(G26,depara!A:B,2,0)),"")</f>
        <v>ADRIEL EDUARDO DA SILVA FERREIRA</v>
      </c>
      <c r="I26" s="267" t="str">
        <f>VLOOKUP(C26,'03114902'!B:B,1,0)</f>
        <v>QJU2248</v>
      </c>
      <c r="J26" s="1" t="str">
        <f>IFERROR(VLOOKUP(Tabela13[[#This Row],[COD]],depara!R:S,2,FALSE),"")</f>
        <v>PORTO MEIRA</v>
      </c>
      <c r="K26" s="1" t="str">
        <f>IFERROR(IF(VLOOKUP(Tabela13[[#This Row],[PLACA]],'03114902'!B:U,20,FALSE) = "", "", VLOOKUP(Tabela13[[#This Row],[PLACA]],'03114902'!B:U,20,FALSE)),"")</f>
        <v>Padrao</v>
      </c>
      <c r="M26" s="197">
        <f>COUNTIF(J5:J31,Tabela7[[#This Row],[REGIÃO]])</f>
        <v>1</v>
      </c>
      <c r="N26" s="2" t="s">
        <v>84</v>
      </c>
      <c r="O26" s="193">
        <f>COUNTIF(J5:J31,Tabela7[[#This Row],[REGIÃO3]])</f>
        <v>0</v>
      </c>
      <c r="P26" t="s">
        <v>85</v>
      </c>
      <c r="Q26" s="189" t="s">
        <v>50</v>
      </c>
      <c r="R26" s="274" t="str">
        <f>IF(depara!X9 = 0, "",depara!X9)</f>
        <v>GKF6739</v>
      </c>
      <c r="S26" s="275"/>
      <c r="T26" s="189" t="s">
        <v>50</v>
      </c>
    </row>
    <row r="27" spans="2:25">
      <c r="B27" s="1">
        <f t="shared" si="1"/>
        <v>17</v>
      </c>
      <c r="C27" s="256"/>
      <c r="D27" s="192">
        <v>900</v>
      </c>
      <c r="E27" s="238"/>
      <c r="F27" s="239" t="str">
        <f>IFERROR(VLOOKUP(E27,depara!A:B,2,0),"")</f>
        <v/>
      </c>
      <c r="G27" s="238"/>
      <c r="H27" s="239" t="str">
        <f>IFERROR(IFERROR(VLOOKUP(G27,depara!C:D,2,0),VLOOKUP(G27,depara!A:B,2,0)),"")</f>
        <v/>
      </c>
      <c r="I27" s="267" t="e">
        <f>VLOOKUP(C27,'03114902'!B:B,1,0)</f>
        <v>#N/A</v>
      </c>
      <c r="J27" s="1" t="str">
        <f>IFERROR(VLOOKUP(Tabela13[[#This Row],[COD]],depara!R:S,2,FALSE),"")</f>
        <v>CENTRO</v>
      </c>
      <c r="K27" s="1" t="str">
        <f>IFERROR(IF(VLOOKUP(Tabela13[[#This Row],[PLACA]],'03114902'!B:U,20,FALSE) = "", "", VLOOKUP(Tabela13[[#This Row],[PLACA]],'03114902'!B:U,20,FALSE)),"")</f>
        <v/>
      </c>
      <c r="M27" s="197">
        <f>COUNTIF(J5:J31,Tabela7[[#This Row],[REGIÃO]])</f>
        <v>0</v>
      </c>
      <c r="N27" s="2" t="s">
        <v>86</v>
      </c>
      <c r="O27" s="193">
        <f>COUNTIF(J5:J31,Tabela7[[#This Row],[REGIÃO3]])</f>
        <v>0</v>
      </c>
      <c r="P27" s="198" t="s">
        <v>87</v>
      </c>
      <c r="Q27" s="189" t="s">
        <v>50</v>
      </c>
      <c r="R27" s="274" t="str">
        <f>IF(depara!X10 = 0, "",depara!X10)</f>
        <v>RAI4127</v>
      </c>
      <c r="S27" s="275"/>
      <c r="T27" s="189" t="s">
        <v>50</v>
      </c>
    </row>
    <row r="28" spans="2:25">
      <c r="B28" s="1">
        <f t="shared" si="1"/>
        <v>18</v>
      </c>
      <c r="C28" s="256"/>
      <c r="D28" s="239">
        <v>900</v>
      </c>
      <c r="E28" s="238"/>
      <c r="F28" s="239" t="str">
        <f>IFERROR(VLOOKUP(E28,depara!A:B,2,0),"")</f>
        <v/>
      </c>
      <c r="G28" s="238"/>
      <c r="H28" s="239" t="str">
        <f>IFERROR(IFERROR(VLOOKUP(G28,depara!C:D,2,0),VLOOKUP(G28,depara!A:B,2,0)),"")</f>
        <v/>
      </c>
      <c r="I28" s="267" t="e">
        <f>VLOOKUP(C28,'03114902'!B:B,1,0)</f>
        <v>#N/A</v>
      </c>
      <c r="J28" s="1" t="str">
        <f>IFERROR(VLOOKUP(Tabela13[[#This Row],[COD]],depara!R:S,2,FALSE),"")</f>
        <v>CENTRO</v>
      </c>
      <c r="K28" s="1" t="str">
        <f>IFERROR(IF(VLOOKUP(Tabela13[[#This Row],[PLACA]],'03114902'!B:U,20,FALSE) = "", "", VLOOKUP(Tabela13[[#This Row],[PLACA]],'03114902'!B:U,20,FALSE)),"")</f>
        <v/>
      </c>
      <c r="M28" s="197">
        <f>COUNTIF(J5:J31,Tabela7[[#This Row],[REGIÃO]])</f>
        <v>1</v>
      </c>
      <c r="N28" s="2" t="s">
        <v>88</v>
      </c>
      <c r="O28" s="193">
        <f>COUNTIF(J5:J31,Tabela7[[#This Row],[REGIÃO3]])</f>
        <v>0</v>
      </c>
      <c r="P28" s="198" t="s">
        <v>89</v>
      </c>
      <c r="Q28" s="189" t="s">
        <v>50</v>
      </c>
      <c r="R28" s="274" t="s">
        <v>53</v>
      </c>
      <c r="S28" s="275"/>
      <c r="T28" s="189" t="s">
        <v>50</v>
      </c>
    </row>
    <row r="29" spans="2:25">
      <c r="B29" s="1"/>
      <c r="C29" s="238"/>
      <c r="D29" s="192"/>
      <c r="E29" s="238"/>
      <c r="F29" s="239" t="str">
        <f>IFERROR(VLOOKUP(E29,depara!A:B,2,0),"")</f>
        <v/>
      </c>
      <c r="G29" s="238"/>
      <c r="H29" s="239" t="str">
        <f>IFERROR(IFERROR(VLOOKUP(G29,depara!C:D,2,0),VLOOKUP(G29,depara!A:B,2,0)),"")</f>
        <v/>
      </c>
      <c r="I29" s="267" t="e">
        <f>VLOOKUP(C29,'03114902'!B:B,1,0)</f>
        <v>#N/A</v>
      </c>
      <c r="J29" s="1" t="str">
        <f>IFERROR(VLOOKUP(Tabela13[[#This Row],[COD]],depara!R:S,2,FALSE),"")</f>
        <v/>
      </c>
      <c r="K29" s="1" t="str">
        <f>IFERROR(IF(VLOOKUP(Tabela13[[#This Row],[PLACA]],'03114902'!B:U,20,FALSE) = "", "", VLOOKUP(Tabela13[[#This Row],[PLACA]],'03114902'!B:U,20,FALSE)),"")</f>
        <v/>
      </c>
      <c r="M29" s="197">
        <f>COUNTIF(J5:J31,Tabela7[[#This Row],[REGIÃO]])</f>
        <v>1</v>
      </c>
      <c r="N29" s="2" t="s">
        <v>90</v>
      </c>
      <c r="O29" s="193">
        <f>COUNTIF(J5:J31,Tabela7[[#This Row],[REGIÃO3]])</f>
        <v>1</v>
      </c>
      <c r="P29" s="198" t="s">
        <v>91</v>
      </c>
      <c r="Q29" s="189" t="s">
        <v>50</v>
      </c>
      <c r="R29" s="274" t="str">
        <f>IF(depara!X12 = 0, "",depara!X12)</f>
        <v>RDZ9E96</v>
      </c>
      <c r="S29" s="275"/>
      <c r="T29" s="189" t="s">
        <v>50</v>
      </c>
    </row>
    <row r="30" spans="2:25">
      <c r="B30" s="1"/>
      <c r="C30" s="242"/>
      <c r="D30" s="2"/>
      <c r="E30" s="238"/>
      <c r="F30" s="239" t="str">
        <f>IFERROR(VLOOKUP(E30,depara!A:B,2,0),"")</f>
        <v/>
      </c>
      <c r="G30" s="242"/>
      <c r="H30" s="239" t="str">
        <f>IFERROR(IFERROR(VLOOKUP(G30,depara!C:D,2,0),VLOOKUP(G30,depara!A:B,2,0)),"")</f>
        <v/>
      </c>
      <c r="I30" s="267" t="e">
        <f>VLOOKUP(C30,'03114902'!B:B,1,0)</f>
        <v>#N/A</v>
      </c>
      <c r="J30" s="1" t="str">
        <f>IFERROR(VLOOKUP(Tabela13[[#This Row],[COD]],depara!R:S,2,FALSE),"")</f>
        <v/>
      </c>
      <c r="K30" s="1" t="str">
        <f>IFERROR(IF(VLOOKUP(Tabela13[[#This Row],[PLACA]],'03114902'!B:U,20,FALSE) = "", "", VLOOKUP(Tabela13[[#This Row],[PLACA]],'03114902'!B:U,20,FALSE)),"")</f>
        <v/>
      </c>
      <c r="M30" s="197">
        <f>COUNTIF(J5:J31,Tabela7[[#This Row],[REGIÃO]])</f>
        <v>1</v>
      </c>
      <c r="N30" s="2" t="s">
        <v>92</v>
      </c>
      <c r="O30" s="193">
        <f>COUNTIF(J5:J31,Tabela7[[#This Row],[REGIÃO3]])</f>
        <v>1</v>
      </c>
      <c r="P30" s="198" t="s">
        <v>93</v>
      </c>
      <c r="Q30" s="189" t="s">
        <v>50</v>
      </c>
      <c r="R30" s="274" t="str">
        <f>IF(depara!X13 = 0, "",depara!X13)</f>
        <v>RKW7G77</v>
      </c>
      <c r="S30" s="275"/>
      <c r="T30" s="189" t="s">
        <v>50</v>
      </c>
    </row>
    <row r="31" spans="2:25">
      <c r="B31" s="1"/>
      <c r="C31" s="193"/>
      <c r="D31" s="2"/>
      <c r="E31" s="191"/>
      <c r="F31" s="192" t="str">
        <f>IFERROR(VLOOKUP(E31,depara!A:B,2,0),"")</f>
        <v/>
      </c>
      <c r="G31" s="193"/>
      <c r="H31" s="2" t="str">
        <f>IFERROR(IFERROR(VLOOKUP(G31,depara!C:D,2,0),VLOOKUP(G31,depara!A:B,2,0)),"")</f>
        <v/>
      </c>
      <c r="I31" s="267" t="e">
        <f>VLOOKUP(C31,'03114902'!B:B,1,0)</f>
        <v>#N/A</v>
      </c>
      <c r="J31" s="1" t="str">
        <f>IFERROR(VLOOKUP(Tabela13[[#This Row],[COD]],depara!R:S,2,FALSE),"")</f>
        <v/>
      </c>
      <c r="K31" s="1" t="str">
        <f>IFERROR(IF(VLOOKUP(Tabela13[[#This Row],[PLACA]],'03114902'!B:U,20,FALSE) = "", "", VLOOKUP(Tabela13[[#This Row],[PLACA]],'03114902'!B:U,20,FALSE)),"")</f>
        <v/>
      </c>
      <c r="M31" s="197">
        <f>COUNTIF(J5:J31,Tabela7[[#This Row],[REGIÃO]])</f>
        <v>2</v>
      </c>
      <c r="N31" s="2" t="s">
        <v>94</v>
      </c>
      <c r="O31" s="193">
        <f>COUNTIF(J5:J31,Tabela7[[#This Row],[REGIÃO3]])</f>
        <v>1</v>
      </c>
      <c r="P31" s="198" t="s">
        <v>95</v>
      </c>
      <c r="Q31" s="189" t="s">
        <v>50</v>
      </c>
      <c r="R31" s="274" t="str">
        <f>IF(depara!X14 = 0, "",depara!X14)</f>
        <v>RLJ6G37</v>
      </c>
      <c r="S31" s="275"/>
      <c r="T31" s="189" t="s">
        <v>50</v>
      </c>
    </row>
    <row r="32" spans="2:25">
      <c r="B32" s="187" t="s">
        <v>96</v>
      </c>
      <c r="M32" s="197">
        <f>COUNTIF(J5:J31,Tabela7[[#This Row],[REGIÃO]])</f>
        <v>0</v>
      </c>
      <c r="N32" s="2" t="s">
        <v>97</v>
      </c>
      <c r="O32" s="193">
        <f>COUNTIF(J5:J31,Tabela7[[#This Row],[REGIÃO3]])</f>
        <v>1</v>
      </c>
      <c r="P32" s="198" t="s">
        <v>98</v>
      </c>
      <c r="Q32" s="189" t="s">
        <v>50</v>
      </c>
      <c r="R32" s="274" t="str">
        <f>IF(depara!X15 = 0, "",depara!X15)</f>
        <v>GBJ5D81</v>
      </c>
      <c r="S32" s="275"/>
      <c r="T32" s="189" t="s">
        <v>50</v>
      </c>
    </row>
    <row r="33" spans="2:20">
      <c r="B33" s="10" t="s">
        <v>34</v>
      </c>
      <c r="C33" s="11" t="s">
        <v>35</v>
      </c>
      <c r="D33" s="11" t="s">
        <v>36</v>
      </c>
      <c r="E33" s="11" t="s">
        <v>37</v>
      </c>
      <c r="F33" s="11" t="s">
        <v>38</v>
      </c>
      <c r="G33" s="11" t="s">
        <v>39</v>
      </c>
      <c r="H33" s="11" t="s">
        <v>40</v>
      </c>
      <c r="I33" s="12" t="s">
        <v>41</v>
      </c>
      <c r="J33" s="190" t="s">
        <v>99</v>
      </c>
      <c r="K33" s="188">
        <f>COUNTA(E5:E12,E17:E31,M5:M22,E34:E35,E38:E39,Tabela18[ID],R14:R18)</f>
        <v>24</v>
      </c>
      <c r="M33" s="197">
        <f>COUNTIF(J5:J31,Tabela7[[#This Row],[REGIÃO]])</f>
        <v>1</v>
      </c>
      <c r="N33" s="2" t="s">
        <v>100</v>
      </c>
      <c r="O33" s="193">
        <f>COUNTIF(J5:J31,Tabela7[[#This Row],[REGIÃO3]])</f>
        <v>0</v>
      </c>
      <c r="P33" t="s">
        <v>101</v>
      </c>
      <c r="Q33" s="189"/>
      <c r="R33" s="274" t="str">
        <f>IF(depara!X16 = 0, "",depara!X16)</f>
        <v/>
      </c>
      <c r="S33" s="275"/>
      <c r="T33" s="189"/>
    </row>
    <row r="34" spans="2:20">
      <c r="B34" s="195">
        <v>1</v>
      </c>
      <c r="C34" s="194" t="s">
        <v>102</v>
      </c>
      <c r="D34" s="196" t="s">
        <v>103</v>
      </c>
      <c r="E34" s="248">
        <v>244</v>
      </c>
      <c r="F34" s="249" t="str">
        <f>IFERROR(VLOOKUP(E34,depara!A:B,2,0),"")</f>
        <v>ANDRE APARECIDO</v>
      </c>
      <c r="G34" s="248">
        <v>170</v>
      </c>
      <c r="H34" s="249" t="str">
        <f>IFERROR(IFERROR(VLOOKUP(G34,depara!C:D,2,0),VLOOKUP(G34,depara!A:B,2,0)),"")</f>
        <v>ALBERTO RAMON FRUTOS</v>
      </c>
      <c r="I34" s="199" t="str">
        <f>VLOOKUP(C34,'03114902'!B:B,1,0)</f>
        <v>FUX6061</v>
      </c>
      <c r="J34" s="190" t="s">
        <v>104</v>
      </c>
      <c r="K34" s="188">
        <f>COUNT(G5:G12,G17:G31,G34:G35,G38:G39,O5:O22,Tabela18[ID2],V14:V18)</f>
        <v>20</v>
      </c>
      <c r="M34" s="197">
        <f>COUNTIF(J5:J31,Tabela7[[#This Row],[REGIÃO]])</f>
        <v>1</v>
      </c>
      <c r="N34" s="2" t="s">
        <v>105</v>
      </c>
      <c r="O34" s="193">
        <f>COUNTIF(J5:J31,Tabela7[[#This Row],[REGIÃO3]])</f>
        <v>1</v>
      </c>
      <c r="P34" t="s">
        <v>106</v>
      </c>
      <c r="Q34" s="189"/>
      <c r="R34" s="274" t="str">
        <f>IF(depara!X17 = 0, "",depara!X17)</f>
        <v/>
      </c>
      <c r="S34" s="275"/>
      <c r="T34" s="189"/>
    </row>
    <row r="35" spans="2:20">
      <c r="B35" s="195">
        <v>2</v>
      </c>
      <c r="C35" s="194"/>
      <c r="D35" s="196"/>
      <c r="E35" s="194"/>
      <c r="F35" s="196" t="str">
        <f>IFERROR(VLOOKUP(E35,depara!A:B,2,0),"")</f>
        <v/>
      </c>
      <c r="G35" s="194"/>
      <c r="H35" s="196" t="str">
        <f>IFERROR(IFERROR(VLOOKUP(G35,depara!C:D,2,0),VLOOKUP(G35,depara!A:B,2,0)),"")</f>
        <v/>
      </c>
      <c r="I35" s="199" t="e">
        <f>VLOOKUP(C35,'03114902'!B:B,1,0)</f>
        <v>#N/A</v>
      </c>
      <c r="M35" s="197">
        <f>COUNTIF(J4:J31,Tabela7[[#This Row],[REGIÃO]])</f>
        <v>2</v>
      </c>
      <c r="N35" s="196" t="s">
        <v>107</v>
      </c>
      <c r="O35" s="193">
        <f>COUNTIF(J5:J32,Tabela7[[#This Row],[REGIÃO3]])</f>
        <v>0</v>
      </c>
      <c r="P35" t="s">
        <v>108</v>
      </c>
      <c r="Q35" s="189"/>
      <c r="R35" s="274" t="str">
        <f>IF(depara!X18 = 0, "",depara!X18)</f>
        <v/>
      </c>
      <c r="S35" s="275"/>
      <c r="T35" s="189"/>
    </row>
    <row r="36" spans="2:20">
      <c r="B36" s="187" t="s">
        <v>109</v>
      </c>
      <c r="M36" s="175"/>
      <c r="N36" s="165" t="str">
        <f>IFERROR(VLOOKUP(M36,depara!A:B,2,0),"")</f>
        <v/>
      </c>
      <c r="O36" s="175"/>
      <c r="Q36" s="189" t="s">
        <v>50</v>
      </c>
      <c r="T36" s="189" t="s">
        <v>50</v>
      </c>
    </row>
    <row r="37" spans="2:20">
      <c r="B37" s="10" t="s">
        <v>34</v>
      </c>
      <c r="C37" s="11" t="s">
        <v>35</v>
      </c>
      <c r="D37" s="11" t="s">
        <v>36</v>
      </c>
      <c r="E37" s="11" t="s">
        <v>37</v>
      </c>
      <c r="F37" s="11" t="s">
        <v>38</v>
      </c>
      <c r="G37" s="11" t="s">
        <v>39</v>
      </c>
      <c r="H37" s="11" t="s">
        <v>40</v>
      </c>
      <c r="I37" s="12" t="s">
        <v>41</v>
      </c>
      <c r="M37" s="273" t="s">
        <v>110</v>
      </c>
      <c r="N37" s="273"/>
      <c r="O37" s="273"/>
      <c r="P37" s="273"/>
      <c r="Q37" s="189" t="s">
        <v>50</v>
      </c>
      <c r="T37" s="189" t="s">
        <v>50</v>
      </c>
    </row>
    <row r="38" spans="2:20">
      <c r="B38" s="268">
        <v>1</v>
      </c>
      <c r="C38" s="193" t="s">
        <v>111</v>
      </c>
      <c r="D38" s="2"/>
      <c r="E38" s="193"/>
      <c r="F38" s="245" t="str">
        <f>IFERROR(VLOOKUP(E38,depara!A:B,2,0),"")</f>
        <v/>
      </c>
      <c r="G38" s="193"/>
      <c r="H38" s="198" t="str">
        <f>IFERROR(IFERROR(VLOOKUP(G38,depara!C:D,2,0),VLOOKUP(G38,depara!A:B,2,0)),"")</f>
        <v/>
      </c>
      <c r="I38" s="267" t="e">
        <f>VLOOKUP(C38,'03114902'!B:B,1,0)</f>
        <v>#N/A</v>
      </c>
      <c r="M38" s="277"/>
      <c r="N38" s="277"/>
      <c r="O38" s="277"/>
      <c r="P38" s="277"/>
      <c r="T38" s="189" t="s">
        <v>50</v>
      </c>
    </row>
    <row r="39" spans="2:20">
      <c r="B39" s="268">
        <v>2</v>
      </c>
      <c r="C39" s="193"/>
      <c r="D39" s="2"/>
      <c r="E39" s="193"/>
      <c r="F39" s="2" t="str">
        <f>IFERROR(VLOOKUP(E39,depara!A:B,2,0),"")</f>
        <v/>
      </c>
      <c r="G39" s="193"/>
      <c r="H39" s="198" t="str">
        <f>IFERROR(IFERROR(VLOOKUP(G39,depara!C:D,2,0),VLOOKUP(G39,depara!A:B,2,0)),"")</f>
        <v/>
      </c>
      <c r="I39" s="267" t="e">
        <f>VLOOKUP(C39,'03114902'!B:B,1,0)</f>
        <v>#N/A</v>
      </c>
      <c r="M39" s="276"/>
      <c r="N39" s="276"/>
      <c r="O39" s="276"/>
      <c r="P39" s="276"/>
      <c r="T39" s="189" t="s">
        <v>50</v>
      </c>
    </row>
    <row r="40" spans="2:20">
      <c r="B40" s="268">
        <v>3</v>
      </c>
      <c r="C40" s="193"/>
      <c r="D40" s="2"/>
      <c r="E40" s="193"/>
      <c r="F40" s="2"/>
      <c r="G40" s="193"/>
      <c r="H40" s="198" t="str">
        <f>IFERROR(IFERROR(VLOOKUP(G40,depara!C:D,2,0),VLOOKUP(G40,depara!A:B,2,0)),"")</f>
        <v/>
      </c>
      <c r="I40" s="267" t="e">
        <f>VLOOKUP(C40,'03114902'!B:B,1,0)</f>
        <v>#N/A</v>
      </c>
      <c r="M40" s="276"/>
      <c r="N40" s="276"/>
      <c r="O40" s="276"/>
      <c r="P40" s="276"/>
      <c r="T40" s="189" t="s">
        <v>50</v>
      </c>
    </row>
    <row r="41" spans="2:20">
      <c r="B41" s="195">
        <v>4</v>
      </c>
      <c r="C41" s="194"/>
      <c r="D41" s="196"/>
      <c r="E41" s="194"/>
      <c r="F41" s="196"/>
      <c r="G41" s="194"/>
      <c r="H41" s="198" t="str">
        <f>IFERROR(IFERROR(VLOOKUP(G41,depara!C:D,2,0),VLOOKUP(G41,depara!A:B,2,0)),"")</f>
        <v/>
      </c>
      <c r="I41" s="267" t="e">
        <f>VLOOKUP(C41,'03114902'!B:B,1,0)</f>
        <v>#N/A</v>
      </c>
      <c r="M41" s="277"/>
      <c r="N41" s="277"/>
      <c r="O41" s="277"/>
      <c r="P41" s="277"/>
      <c r="T41" s="189" t="s">
        <v>50</v>
      </c>
    </row>
    <row r="42" spans="2:20">
      <c r="M42" s="272"/>
      <c r="N42" s="272"/>
      <c r="O42" s="272"/>
      <c r="P42" s="272"/>
      <c r="T42" s="189" t="s">
        <v>50</v>
      </c>
    </row>
    <row r="43" spans="2:20">
      <c r="B43" s="187" t="s">
        <v>112</v>
      </c>
      <c r="J43" s="175"/>
      <c r="K43" s="175"/>
      <c r="M43" s="272"/>
      <c r="N43" s="272"/>
      <c r="O43" s="272"/>
      <c r="P43" s="272"/>
    </row>
    <row r="44" spans="2:20">
      <c r="B44" s="10" t="s">
        <v>34</v>
      </c>
      <c r="C44" s="11" t="s">
        <v>35</v>
      </c>
      <c r="D44" s="11" t="s">
        <v>36</v>
      </c>
      <c r="E44" s="11" t="s">
        <v>37</v>
      </c>
      <c r="F44" s="11" t="s">
        <v>38</v>
      </c>
      <c r="G44" s="11" t="s">
        <v>39</v>
      </c>
      <c r="H44" s="11" t="s">
        <v>40</v>
      </c>
      <c r="I44" s="12" t="s">
        <v>41</v>
      </c>
      <c r="J44" s="175"/>
      <c r="K44" s="175"/>
      <c r="M44" s="272"/>
      <c r="N44" s="272"/>
      <c r="O44" s="272"/>
      <c r="P44" s="272"/>
    </row>
    <row r="45" spans="2:20">
      <c r="B45" s="268">
        <v>1</v>
      </c>
      <c r="C45" s="193" t="s">
        <v>113</v>
      </c>
      <c r="D45" s="2" t="s">
        <v>114</v>
      </c>
      <c r="E45" s="193">
        <v>273</v>
      </c>
      <c r="F45" s="2" t="str">
        <f>IFERROR(VLOOKUP(E45,depara!O:P,2,0),"")</f>
        <v>LEONIR DHEIN</v>
      </c>
      <c r="G45" s="193"/>
      <c r="H45" s="2"/>
      <c r="I45" s="267" t="str">
        <f>VLOOKUP(C45,'03114902'!O:O,1,0)</f>
        <v>EWU3H21</v>
      </c>
      <c r="J45" s="175"/>
      <c r="K45" s="175"/>
      <c r="M45" s="272"/>
      <c r="N45" s="272"/>
      <c r="O45" s="272"/>
      <c r="P45" s="272"/>
    </row>
    <row r="46" spans="2:20">
      <c r="B46" s="268">
        <v>2</v>
      </c>
      <c r="C46" s="193" t="s">
        <v>115</v>
      </c>
      <c r="D46" s="2" t="s">
        <v>114</v>
      </c>
      <c r="E46" s="193">
        <v>266</v>
      </c>
      <c r="F46" s="2" t="str">
        <f>IFERROR(VLOOKUP(E46,depara!O:P,2,0),"")</f>
        <v>JOAO CARLOS DA CRUZ</v>
      </c>
      <c r="G46" s="193"/>
      <c r="H46" s="2"/>
      <c r="I46" s="267" t="e">
        <f>VLOOKUP(C46,'03114902'!B:B,1,0)</f>
        <v>#N/A</v>
      </c>
      <c r="J46" s="175"/>
      <c r="K46" s="175"/>
    </row>
    <row r="47" spans="2:20">
      <c r="B47" s="268">
        <v>3</v>
      </c>
      <c r="C47" s="193" t="s">
        <v>116</v>
      </c>
      <c r="D47" s="2" t="s">
        <v>114</v>
      </c>
      <c r="E47" s="193">
        <v>214</v>
      </c>
      <c r="F47" s="2" t="str">
        <f>IFERROR(VLOOKUP(E47,depara!O:P,2,0),"")</f>
        <v>CLAUDEMIR CALIXTO</v>
      </c>
      <c r="G47" s="193"/>
      <c r="H47" s="2"/>
      <c r="I47" s="267" t="e">
        <f>VLOOKUP(C47,'03114902'!B:B,1,0)</f>
        <v>#N/A</v>
      </c>
      <c r="J47" s="175"/>
      <c r="K47" s="175"/>
    </row>
    <row r="48" spans="2:20">
      <c r="B48" s="268">
        <v>4</v>
      </c>
      <c r="C48" s="193" t="s">
        <v>117</v>
      </c>
      <c r="D48" s="2" t="s">
        <v>114</v>
      </c>
      <c r="E48" s="193">
        <v>228</v>
      </c>
      <c r="F48" s="2" t="str">
        <f>IFERROR(VLOOKUP(E48,depara!O:P,2,0),"")</f>
        <v>MANOEL ARAUJO</v>
      </c>
      <c r="G48" s="193"/>
      <c r="H48" s="2"/>
      <c r="I48" s="267" t="e">
        <f>VLOOKUP(C48,'03114902'!B:B,1,0)</f>
        <v>#N/A</v>
      </c>
      <c r="J48" s="175"/>
      <c r="K48" s="175"/>
    </row>
    <row r="49" spans="2:11">
      <c r="B49" s="268">
        <v>5</v>
      </c>
      <c r="C49" s="193" t="s">
        <v>118</v>
      </c>
      <c r="D49" s="2" t="s">
        <v>119</v>
      </c>
      <c r="E49" s="193">
        <v>276</v>
      </c>
      <c r="F49" s="2" t="str">
        <f>IFERROR(VLOOKUP(E49,depara!O:P,2,0),"")</f>
        <v>WELVIS SILVA CARNEIRO</v>
      </c>
      <c r="G49" s="193"/>
      <c r="H49" s="2"/>
      <c r="I49" s="267" t="str">
        <f>VLOOKUP(C49,'03114902'!B:B,1,0)</f>
        <v>DVT4G32</v>
      </c>
      <c r="J49" s="175"/>
      <c r="K49" s="175"/>
    </row>
    <row r="50" spans="2:11">
      <c r="B50" s="268">
        <v>6</v>
      </c>
      <c r="C50" s="193" t="s">
        <v>120</v>
      </c>
      <c r="D50" s="2" t="s">
        <v>119</v>
      </c>
      <c r="E50" s="193">
        <v>305</v>
      </c>
      <c r="F50" s="2" t="str">
        <f>IFERROR(VLOOKUP(E50,depara!O:P,2,0),"")</f>
        <v>JOAO SOUZA DOS REIS</v>
      </c>
      <c r="G50" s="193"/>
      <c r="H50" s="2"/>
      <c r="I50" s="267" t="e">
        <f>VLOOKUP(C50,'03114902'!B:B,1,0)</f>
        <v>#N/A</v>
      </c>
      <c r="J50" s="175"/>
      <c r="K50" s="175"/>
    </row>
    <row r="51" spans="2:11">
      <c r="B51" s="268">
        <v>7</v>
      </c>
      <c r="C51" s="193" t="s">
        <v>121</v>
      </c>
      <c r="D51" s="2" t="s">
        <v>122</v>
      </c>
      <c r="E51" s="193">
        <v>305</v>
      </c>
      <c r="F51" s="2" t="str">
        <f>IFERROR(VLOOKUP(E51,depara!O:P,2,0),"")</f>
        <v>JOAO SOUZA DOS REIS</v>
      </c>
      <c r="G51" s="193"/>
      <c r="H51" s="2"/>
      <c r="I51" s="267" t="str">
        <f>VLOOKUP(C51,'03114902'!B:B,1,0)</f>
        <v>MDB1A18</v>
      </c>
      <c r="J51" s="175"/>
      <c r="K51" s="175"/>
    </row>
    <row r="52" spans="2:11">
      <c r="B52" s="268">
        <v>8</v>
      </c>
      <c r="C52" s="193" t="s">
        <v>123</v>
      </c>
      <c r="D52" s="2" t="s">
        <v>122</v>
      </c>
      <c r="E52" s="193">
        <v>136</v>
      </c>
      <c r="F52" s="2" t="str">
        <f>IFERROR(VLOOKUP(E52,depara!O:P,2,0),"")</f>
        <v>GABRIEL BRITO</v>
      </c>
      <c r="G52" s="193"/>
      <c r="H52" s="2"/>
      <c r="I52" s="267" t="str">
        <f>VLOOKUP(C52,'03114902'!B:B,1,0)</f>
        <v>KAG0C07</v>
      </c>
      <c r="J52" s="175"/>
      <c r="K52" s="175"/>
    </row>
    <row r="53" spans="2:11">
      <c r="B53" s="268">
        <v>9</v>
      </c>
      <c r="C53" s="193" t="s">
        <v>124</v>
      </c>
      <c r="D53" s="2" t="s">
        <v>122</v>
      </c>
      <c r="E53" s="193">
        <v>216</v>
      </c>
      <c r="F53" s="2" t="str">
        <f>IFERROR(VLOOKUP(E53,depara!O:P,2,0),"")</f>
        <v>EDILEUZA CORREIA</v>
      </c>
      <c r="G53" s="193"/>
      <c r="H53" s="2"/>
      <c r="I53" s="267" t="str">
        <f>VLOOKUP(C53,'03114902'!B:B,1,0)</f>
        <v>IQU6H77</v>
      </c>
      <c r="J53" s="175"/>
      <c r="K53" s="175"/>
    </row>
    <row r="54" spans="2:11">
      <c r="B54" s="268">
        <v>10</v>
      </c>
      <c r="C54" s="193" t="s">
        <v>125</v>
      </c>
      <c r="D54" s="2" t="s">
        <v>122</v>
      </c>
      <c r="E54" s="193">
        <v>234</v>
      </c>
      <c r="F54" s="2" t="str">
        <f>IFERROR(VLOOKUP(E54,depara!O:P,2,0),"")</f>
        <v>FLAVIO</v>
      </c>
      <c r="G54" s="193"/>
      <c r="H54" s="2"/>
      <c r="I54" s="267" t="str">
        <f>VLOOKUP(C54,'03114902'!B:B,1,0)</f>
        <v>NXK5H74</v>
      </c>
      <c r="J54" s="175"/>
      <c r="K54" s="175"/>
    </row>
    <row r="55" spans="2:11">
      <c r="B55" s="268">
        <v>11</v>
      </c>
      <c r="C55" s="193"/>
      <c r="D55" s="2"/>
      <c r="E55" s="193"/>
      <c r="F55" s="2" t="str">
        <f>IFERROR(VLOOKUP(E55,depara!O:P,2,0),"")</f>
        <v/>
      </c>
      <c r="G55" s="193"/>
      <c r="H55" s="2"/>
      <c r="I55" s="267" t="e">
        <f>VLOOKUP(C55,'03114902'!B:B,1,0)</f>
        <v>#N/A</v>
      </c>
      <c r="J55" s="175"/>
      <c r="K55" s="175"/>
    </row>
    <row r="56" spans="2:11">
      <c r="B56" s="268">
        <v>12</v>
      </c>
      <c r="C56" s="193"/>
      <c r="D56" s="2"/>
      <c r="E56" s="193"/>
      <c r="F56" s="2" t="str">
        <f>IFERROR(VLOOKUP(E56,depara!O:P,2,0),"")</f>
        <v/>
      </c>
      <c r="G56" s="193"/>
      <c r="H56" s="2"/>
      <c r="I56" s="267" t="e">
        <f>VLOOKUP(C56,'03114902'!B:B,1,0)</f>
        <v>#N/A</v>
      </c>
      <c r="J56" s="175"/>
      <c r="K56" s="175"/>
    </row>
    <row r="57" spans="2:11">
      <c r="B57" s="268">
        <v>13</v>
      </c>
      <c r="C57" s="193"/>
      <c r="D57" s="2"/>
      <c r="E57" s="193"/>
      <c r="F57" s="2" t="str">
        <f>IFERROR(VLOOKUP(E57,depara!O:P,2,0),"")</f>
        <v/>
      </c>
      <c r="G57" s="193"/>
      <c r="H57" s="2"/>
      <c r="I57" s="267" t="e">
        <f>VLOOKUP(C57,'03114902'!B:B,1,0)</f>
        <v>#N/A</v>
      </c>
      <c r="J57" s="175"/>
      <c r="K57" s="175"/>
    </row>
    <row r="58" spans="2:11">
      <c r="B58" s="268">
        <v>14</v>
      </c>
      <c r="C58" s="193" t="s">
        <v>126</v>
      </c>
      <c r="D58" s="2" t="s">
        <v>127</v>
      </c>
      <c r="E58" s="193">
        <v>302</v>
      </c>
      <c r="F58" s="2" t="str">
        <f>IFERROR(VLOOKUP(E58,depara!O:P,2,0),"")</f>
        <v xml:space="preserve">VICTOR HUGO SANTOS DE PAIVA </v>
      </c>
      <c r="G58" s="193"/>
      <c r="H58" s="2"/>
      <c r="I58" s="267" t="e">
        <f>VLOOKUP(C58,'03114902'!B:B,1,0)</f>
        <v>#N/A</v>
      </c>
      <c r="J58" s="175"/>
      <c r="K58" s="175"/>
    </row>
    <row r="59" spans="2:11">
      <c r="B59" s="268">
        <v>15</v>
      </c>
      <c r="C59" s="193" t="s">
        <v>128</v>
      </c>
      <c r="D59" s="2" t="s">
        <v>127</v>
      </c>
      <c r="E59" s="193">
        <v>292</v>
      </c>
      <c r="F59" s="2" t="str">
        <f>IFERROR(VLOOKUP(E59,depara!O:P,2,0),"")</f>
        <v>JANDIR ALVES</v>
      </c>
      <c r="G59" s="193"/>
      <c r="H59" s="2"/>
      <c r="I59" s="267" t="e">
        <f>VLOOKUP(C59,'03114902'!B:B,1,0)</f>
        <v>#N/A</v>
      </c>
      <c r="J59" s="175"/>
      <c r="K59" s="175"/>
    </row>
    <row r="60" spans="2:11">
      <c r="B60" s="268">
        <v>16</v>
      </c>
      <c r="C60" s="193" t="s">
        <v>129</v>
      </c>
      <c r="D60" s="2" t="s">
        <v>127</v>
      </c>
      <c r="E60" s="193">
        <v>12</v>
      </c>
      <c r="F60" s="2" t="str">
        <f>IFERROR(VLOOKUP(E60,depara!O:P,2,0),"")</f>
        <v>ADRIANO APARECIDO</v>
      </c>
      <c r="G60" s="193"/>
      <c r="H60" s="2"/>
      <c r="I60" s="267" t="e">
        <f>VLOOKUP(C60,'03114902'!B:B,1,0)</f>
        <v>#N/A</v>
      </c>
      <c r="J60" s="175"/>
      <c r="K60" s="175"/>
    </row>
    <row r="61" spans="2:11">
      <c r="B61" s="268">
        <v>17</v>
      </c>
      <c r="C61" s="193" t="s">
        <v>130</v>
      </c>
      <c r="D61" s="2" t="s">
        <v>127</v>
      </c>
      <c r="E61" s="193">
        <v>191</v>
      </c>
      <c r="F61" s="2" t="str">
        <f>IFERROR(VLOOKUP(E61,depara!O:P,2,0),"")</f>
        <v>CLAUDINEIS DOS SANTOS</v>
      </c>
      <c r="G61" s="193"/>
      <c r="H61" s="2"/>
      <c r="I61" s="267" t="e">
        <f>VLOOKUP(C61,'03114902'!B:B,1,0)</f>
        <v>#N/A</v>
      </c>
      <c r="J61" s="175"/>
      <c r="K61" s="175"/>
    </row>
    <row r="62" spans="2:11">
      <c r="B62" s="268">
        <v>18</v>
      </c>
      <c r="C62" s="193" t="s">
        <v>131</v>
      </c>
      <c r="D62" s="2" t="s">
        <v>127</v>
      </c>
      <c r="E62" s="193">
        <v>284</v>
      </c>
      <c r="F62" s="2" t="str">
        <f>IFERROR(VLOOKUP(E62,depara!O:P,2,0),"")</f>
        <v>CENIVALDO PAIVA</v>
      </c>
      <c r="G62" s="193"/>
      <c r="H62" s="2"/>
      <c r="I62" s="267" t="e">
        <f>VLOOKUP(C62,'03114902'!B:B,1,0)</f>
        <v>#N/A</v>
      </c>
      <c r="J62" s="175"/>
      <c r="K62" s="175"/>
    </row>
    <row r="63" spans="2:11">
      <c r="B63" s="195">
        <v>19</v>
      </c>
      <c r="C63" s="193"/>
      <c r="D63" s="196"/>
      <c r="E63" s="194"/>
      <c r="F63" s="2"/>
      <c r="G63" s="194"/>
      <c r="H63" s="196"/>
      <c r="I63" s="267" t="e">
        <f>VLOOKUP(C63,'03114902'!B:B,1,0)</f>
        <v>#N/A</v>
      </c>
      <c r="J63" s="175"/>
      <c r="K63" s="175"/>
    </row>
    <row r="64" spans="2:11">
      <c r="B64" s="195">
        <v>20</v>
      </c>
      <c r="C64" s="193"/>
      <c r="D64" s="196"/>
      <c r="E64" s="194"/>
      <c r="F64" s="2" t="str">
        <f>IFERROR(VLOOKUP(E64,depara!O:P,2,0),"")</f>
        <v/>
      </c>
      <c r="G64" s="194"/>
      <c r="H64" s="196"/>
      <c r="I64" s="267" t="e">
        <f>VLOOKUP(C64,'03114902'!B:B,1,0)</f>
        <v>#N/A</v>
      </c>
      <c r="J64" s="175"/>
      <c r="K64" s="175"/>
    </row>
    <row r="66" spans="5:5">
      <c r="E66" s="175"/>
    </row>
  </sheetData>
  <mergeCells count="37">
    <mergeCell ref="T18:U18"/>
    <mergeCell ref="X13:Y13"/>
    <mergeCell ref="X14:Y14"/>
    <mergeCell ref="X15:Y15"/>
    <mergeCell ref="X16:Y16"/>
    <mergeCell ref="X17:Y17"/>
    <mergeCell ref="X18:Y18"/>
    <mergeCell ref="T13:U13"/>
    <mergeCell ref="T14:U14"/>
    <mergeCell ref="T15:U15"/>
    <mergeCell ref="T16:U16"/>
    <mergeCell ref="T17:U17"/>
    <mergeCell ref="R30:S30"/>
    <mergeCell ref="R31:S31"/>
    <mergeCell ref="R32:S32"/>
    <mergeCell ref="R33:S33"/>
    <mergeCell ref="R34:S34"/>
    <mergeCell ref="R25:S25"/>
    <mergeCell ref="R26:S26"/>
    <mergeCell ref="R27:S27"/>
    <mergeCell ref="R28:S28"/>
    <mergeCell ref="R29:S29"/>
    <mergeCell ref="R20:S20"/>
    <mergeCell ref="R21:S21"/>
    <mergeCell ref="R22:S22"/>
    <mergeCell ref="R23:S23"/>
    <mergeCell ref="R24:S24"/>
    <mergeCell ref="M43:P43"/>
    <mergeCell ref="M44:P44"/>
    <mergeCell ref="M45:P45"/>
    <mergeCell ref="M37:P37"/>
    <mergeCell ref="R35:S35"/>
    <mergeCell ref="M39:P39"/>
    <mergeCell ref="M40:P40"/>
    <mergeCell ref="M41:P41"/>
    <mergeCell ref="M42:P42"/>
    <mergeCell ref="M38:P38"/>
  </mergeCells>
  <phoneticPr fontId="8" type="noConversion"/>
  <conditionalFormatting sqref="B5 J5:K14 B17:G17 C21:D21 C20:E20 B20:B26 J17:K31 B9:B14 B6:E6 B7:C8 C22:E26 B28:H31 B27:E27 H17:H27 G22:G27 B18:E19 G6 G18:G20 F18:F27">
    <cfRule type="expression" dxfId="1384" priority="16">
      <formula>$K5="Fator Zero"</formula>
    </cfRule>
    <cfRule type="expression" dxfId="1383" priority="17">
      <formula>$J5="INDISPONÍVEL"</formula>
    </cfRule>
  </conditionalFormatting>
  <conditionalFormatting sqref="B5 J5:K14 B17:G17 C21:D21 C20:E20 B20:B26 J17:K31 B9:B14 B6:E6 B7:C8 C22:E26 B28:H31 B27:E27 H17:H27 G22:G27 B18:E19 G6 G18:G20 F18:F27">
    <cfRule type="expression" dxfId="1382" priority="15">
      <formula>$K5="Integração"</formula>
    </cfRule>
  </conditionalFormatting>
  <conditionalFormatting sqref="C5:E5 G5">
    <cfRule type="expression" dxfId="1381" priority="927">
      <formula>$K14="Integração"</formula>
    </cfRule>
    <cfRule type="expression" dxfId="1380" priority="928">
      <formula>$K14="Fator Zero"</formula>
    </cfRule>
    <cfRule type="expression" dxfId="1379" priority="929">
      <formula>$J14="INDISPONÍVEL"</formula>
    </cfRule>
  </conditionalFormatting>
  <conditionalFormatting sqref="E6">
    <cfRule type="expression" dxfId="1378" priority="1">
      <formula>$K6="Integração"</formula>
    </cfRule>
    <cfRule type="expression" dxfId="1377" priority="2">
      <formula>$K6="Fator Zero"</formula>
    </cfRule>
    <cfRule type="expression" dxfId="1376" priority="3">
      <formula>$J6="INDISPONÍVEL"</formula>
    </cfRule>
  </conditionalFormatting>
  <conditionalFormatting sqref="E21 G21">
    <cfRule type="expression" dxfId="1375" priority="912">
      <formula>$K19="Integração"</formula>
    </cfRule>
    <cfRule type="expression" dxfId="1374" priority="913">
      <formula>$K19="Fator Zero"</formula>
    </cfRule>
    <cfRule type="expression" dxfId="1373" priority="914">
      <formula>$J19="INDISPONÍVEL"</formula>
    </cfRule>
  </conditionalFormatting>
  <conditionalFormatting sqref="I45:I64 I5:I14">
    <cfRule type="notContainsErrors" dxfId="1372" priority="47">
      <formula>NOT(ISERROR(I5))</formula>
    </cfRule>
    <cfRule type="containsErrors" dxfId="1371" priority="48">
      <formula>ISERROR(I5)</formula>
    </cfRule>
  </conditionalFormatting>
  <conditionalFormatting sqref="I17:I31">
    <cfRule type="notContainsErrors" dxfId="1370" priority="8">
      <formula>NOT(ISERROR(I17))</formula>
    </cfRule>
    <cfRule type="containsErrors" dxfId="1369" priority="9">
      <formula>ISERROR(I17)</formula>
    </cfRule>
  </conditionalFormatting>
  <conditionalFormatting sqref="I34:I35">
    <cfRule type="notContainsErrors" dxfId="1368" priority="43">
      <formula>NOT(ISERROR(I34))</formula>
    </cfRule>
    <cfRule type="containsErrors" dxfId="1367" priority="44">
      <formula>ISERROR(I34)</formula>
    </cfRule>
  </conditionalFormatting>
  <conditionalFormatting sqref="I38:I41">
    <cfRule type="notContainsErrors" dxfId="1366" priority="41">
      <formula>NOT(ISERROR(I38))</formula>
    </cfRule>
    <cfRule type="containsErrors" dxfId="1365" priority="42">
      <formula>ISERROR(I38)</formula>
    </cfRule>
  </conditionalFormatting>
  <conditionalFormatting sqref="K5:K31">
    <cfRule type="containsText" dxfId="1364" priority="29" operator="containsText" text="Fator Zero">
      <formula>NOT(ISERROR(SEARCH("Fator Zero",K5)))</formula>
    </cfRule>
    <cfRule type="containsText" dxfId="1363" priority="30" operator="containsText" text="Integração">
      <formula>NOT(ISERROR(SEARCH("Integração",K5)))</formula>
    </cfRule>
  </conditionalFormatting>
  <conditionalFormatting sqref="M25:M35 O25:O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:M15 O5:O22">
    <cfRule type="duplicateValues" dxfId="1362" priority="923"/>
  </conditionalFormatting>
  <conditionalFormatting sqref="D7:E8 C13:H14 C9:E12 H5:H12 G7:G12 F5:F12">
    <cfRule type="expression" dxfId="1361" priority="951">
      <formula>$K6="Fator Zero"</formula>
    </cfRule>
    <cfRule type="expression" dxfId="1360" priority="952">
      <formula>$J6="INDISPONÍVEL"</formula>
    </cfRule>
  </conditionalFormatting>
  <conditionalFormatting sqref="D7:E8 C13:H14 C9:E12 H5:H12 G7:G12 F5:F12">
    <cfRule type="expression" dxfId="1359" priority="956">
      <formula>$K6="Integração"</formula>
    </cfRule>
  </conditionalFormatting>
  <conditionalFormatting sqref="C27:E27 H17:H30 G27">
    <cfRule type="expression" dxfId="1358" priority="1012">
      <formula>$K16="Fator Zero"</formula>
    </cfRule>
    <cfRule type="expression" dxfId="1357" priority="1013">
      <formula>$J16="INDISPONÍVEL"</formula>
    </cfRule>
  </conditionalFormatting>
  <conditionalFormatting sqref="C27:E27 H17:H30 G27">
    <cfRule type="expression" dxfId="1356" priority="1017">
      <formula>$K16="Integração"</formula>
    </cfRule>
  </conditionalFormatting>
  <conditionalFormatting sqref="E34:E35 E38:E39 M5:M15 E29:F31 E5:E14 E17:E28">
    <cfRule type="duplicateValues" dxfId="1355" priority="1025"/>
  </conditionalFormatting>
  <conditionalFormatting sqref="C34:C35 C38:C41 C5:C14 C17:C31">
    <cfRule type="duplicateValues" dxfId="1354" priority="1026"/>
  </conditionalFormatting>
  <conditionalFormatting sqref="G34:G35 G38:G39 G5:G14 G17:G31 O5:O22">
    <cfRule type="duplicateValues" dxfId="1353" priority="1033"/>
  </conditionalFormatting>
  <conditionalFormatting sqref="C28:H28 H17:H27 F18:F27">
    <cfRule type="expression" dxfId="1352" priority="1046">
      <formula>$K14="Fator Zero"</formula>
    </cfRule>
    <cfRule type="expression" dxfId="1351" priority="1047">
      <formula>$J14="INDISPONÍVEL"</formula>
    </cfRule>
  </conditionalFormatting>
  <conditionalFormatting sqref="C28:H28 H17:H27 F18:F27">
    <cfRule type="expression" dxfId="1350" priority="1049">
      <formula>$K14="Integração"</formula>
    </cfRule>
  </conditionalFormatting>
  <pageMargins left="0.51181102362204722" right="0.51181102362204722" top="0.78740157480314965" bottom="0.78740157480314965" header="0.31496062992125984" footer="0.31496062992125984"/>
  <pageSetup paperSize="9" scale="61" orientation="landscape" horizontalDpi="300" verticalDpi="300" r:id="rId1"/>
  <ignoredErrors>
    <ignoredError sqref="U11 K5 K17 M26 M25 M27:M35 O25:O35" calculatedColumn="1"/>
    <ignoredError sqref="H39 I45 I39:I41 I35 I13:I14 I30:I31" evalError="1"/>
    <ignoredError sqref="I38 I34 I46:I63" evalError="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AtualizarPlacas">
                <anchor moveWithCells="1" sizeWithCells="1">
                  <from>
                    <xdr:col>19</xdr:col>
                    <xdr:colOff>257175</xdr:colOff>
                    <xdr:row>19</xdr:row>
                    <xdr:rowOff>104775</xdr:rowOff>
                  </from>
                  <to>
                    <xdr:col>21</xdr:col>
                    <xdr:colOff>190500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14AE2116-AA15-4C93-ACB4-E81A9476A778}">
            <xm:f>COUNTIF('03114902'!$O:$O,"VSP0001")&gt;0</xm:f>
            <x14:dxf>
              <font>
                <b/>
                <i val="0"/>
                <color theme="5" tint="0.79998168889431442"/>
              </font>
              <fill>
                <patternFill>
                  <bgColor rgb="FFFF0000"/>
                </patternFill>
              </fill>
            </x14:dxf>
          </x14:cfRule>
          <xm:sqref>B34:H34</xm:sqref>
        </x14:conditionalFormatting>
        <x14:conditionalFormatting xmlns:xm="http://schemas.microsoft.com/office/excel/2006/main">
          <x14:cfRule type="cellIs" priority="906" operator="greaterThan" id="{D2FD0A3E-B30E-48D7-9F31-918C686028D0}">
            <xm:f>COUNTA(depara!$D$2:$D$35)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14:cfRule type="cellIs" priority="907" operator="lessThan" id="{098861AD-5306-40D5-B197-0FCACB096409}">
            <xm:f>COUNTA(depara!$D$2:$D$35)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14:cfRule type="cellIs" priority="908" operator="equal" id="{C38D70A8-CCCA-460D-BB1B-B54FCAF2EC87}">
            <xm:f>COUNTA(depara!$D$2:$D$35)</xm:f>
            <x14:dxf>
              <font>
                <b/>
                <i val="0"/>
                <color theme="6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ellIs" priority="1005" operator="greaterThan" id="{89118755-4D18-43DA-950B-B48EE0D2FCE9}">
            <xm:f>COUNTA(depara!$B$2:$B$31)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14:cfRule type="cellIs" priority="1006" operator="lessThan" id="{C113C818-784D-4889-8610-48859E2638CC}">
            <xm:f>COUNTA(depara!$B$2:$B$31)</xm:f>
            <x14:dxf>
              <font>
                <b/>
                <i val="0"/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14:cfRule type="cellIs" priority="1007" operator="equal" id="{44EF5F83-E6CB-4209-9484-0BC37920115B}">
            <xm:f>COUNTA(depara!$B$2:$B$31)</xm:f>
            <x14:dxf>
              <font>
                <b/>
                <i val="0"/>
                <color theme="6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m:sqref>K33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7AD4D9-2353-4464-B4EA-536AA6D2A686}">
          <x14:formula1>
            <xm:f>depara!$F$2:$F$44</xm:f>
          </x14:formula1>
          <xm:sqref>C34:C35 C38:C41 C5:C14 C17:C31</xm:sqref>
        </x14:dataValidation>
        <x14:dataValidation type="list" allowBlank="1" showInputMessage="1" showErrorMessage="1" xr:uid="{00000000-0002-0000-0200-000001000000}">
          <x14:formula1>
            <xm:f>depara!$K:$K</xm:f>
          </x14:formula1>
          <xm:sqref>C46:C47 C49:C55 C57:C63</xm:sqref>
        </x14:dataValidation>
        <x14:dataValidation type="list" allowBlank="1" showInputMessage="1" showErrorMessage="1" xr:uid="{C1269EE5-5381-41AB-9454-18060A6F9A4C}">
          <x14:formula1>
            <xm:f>depara!$A:$A</xm:f>
          </x14:formula1>
          <xm:sqref>R14:R18 M5:M15 E17:E31 R5:R11 E38:E41 E34:E35 E5:E14</xm:sqref>
        </x14:dataValidation>
        <x14:dataValidation type="list" allowBlank="1" showInputMessage="1" showErrorMessage="1" xr:uid="{4DD88284-15DD-41B1-9ABA-6E1EE7F038A9}">
          <x14:formula1>
            <xm:f>depara!$V:$V</xm:f>
          </x14:formula1>
          <xm:sqref>G34:G35 G17:G31 V14:V18 V5:V11 G38:G41 G5:G14 O5:O22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AP99"/>
  <sheetViews>
    <sheetView topLeftCell="B10" zoomScale="70" zoomScaleNormal="70" workbookViewId="0">
      <selection activeCell="C1" sqref="C1:AP24"/>
    </sheetView>
  </sheetViews>
  <sheetFormatPr defaultColWidth="0" defaultRowHeight="15" zeroHeight="1"/>
  <cols>
    <col min="1" max="1" width="9.7109375" hidden="1" customWidth="1"/>
    <col min="2" max="2" width="11.42578125" customWidth="1"/>
    <col min="3" max="3" width="10" bestFit="1" customWidth="1"/>
    <col min="4" max="4" width="18.7109375" bestFit="1" customWidth="1"/>
    <col min="5" max="5" width="17.140625" bestFit="1" customWidth="1"/>
    <col min="6" max="6" width="30" bestFit="1" customWidth="1"/>
    <col min="7" max="7" width="20" style="6" bestFit="1" customWidth="1"/>
    <col min="8" max="8" width="17.85546875" bestFit="1" customWidth="1"/>
    <col min="9" max="9" width="19.140625" bestFit="1" customWidth="1"/>
    <col min="10" max="10" width="25.42578125" bestFit="1" customWidth="1"/>
    <col min="11" max="11" width="16.28515625" style="5" customWidth="1"/>
    <col min="12" max="12" width="15.7109375" bestFit="1" customWidth="1"/>
    <col min="13" max="13" width="15" bestFit="1" customWidth="1"/>
    <col min="14" max="14" width="13.5703125" bestFit="1" customWidth="1"/>
    <col min="15" max="15" width="11.5703125" bestFit="1" customWidth="1"/>
    <col min="16" max="16" width="26.28515625" bestFit="1" customWidth="1"/>
    <col min="17" max="17" width="15.42578125" bestFit="1" customWidth="1"/>
    <col min="18" max="18" width="11.7109375" bestFit="1" customWidth="1"/>
    <col min="19" max="19" width="11.42578125" bestFit="1" customWidth="1"/>
    <col min="20" max="20" width="16" style="5" bestFit="1" customWidth="1"/>
    <col min="21" max="21" width="20.28515625" bestFit="1" customWidth="1"/>
    <col min="22" max="22" width="15" bestFit="1" customWidth="1"/>
    <col min="23" max="23" width="31.42578125" style="4" bestFit="1" customWidth="1"/>
    <col min="24" max="24" width="15" bestFit="1" customWidth="1"/>
    <col min="25" max="25" width="22.42578125" bestFit="1" customWidth="1"/>
    <col min="26" max="26" width="27.85546875" bestFit="1" customWidth="1"/>
    <col min="27" max="27" width="16.85546875" bestFit="1" customWidth="1"/>
    <col min="28" max="28" width="26" bestFit="1" customWidth="1"/>
    <col min="29" max="29" width="15.28515625" bestFit="1" customWidth="1"/>
    <col min="30" max="30" width="18.7109375" bestFit="1" customWidth="1"/>
    <col min="31" max="31" width="10.7109375" bestFit="1" customWidth="1"/>
    <col min="32" max="32" width="22.42578125" bestFit="1" customWidth="1"/>
    <col min="33" max="33" width="13.5703125" bestFit="1" customWidth="1"/>
    <col min="34" max="35" width="10.28515625" bestFit="1" customWidth="1"/>
    <col min="36" max="36" width="18.28515625" bestFit="1" customWidth="1"/>
    <col min="37" max="37" width="14.42578125" bestFit="1" customWidth="1"/>
    <col min="38" max="38" width="23" bestFit="1" customWidth="1"/>
    <col min="39" max="39" width="73.42578125" bestFit="1" customWidth="1"/>
    <col min="40" max="41" width="255.7109375" bestFit="1" customWidth="1"/>
    <col min="42" max="42" width="25" bestFit="1" customWidth="1"/>
    <col min="43" max="16384" width="8.85546875" hidden="1"/>
  </cols>
  <sheetData>
    <row r="1" spans="1:42">
      <c r="A1" s="8" t="s">
        <v>28</v>
      </c>
      <c r="B1" s="8" t="s">
        <v>2</v>
      </c>
      <c r="C1" s="257" t="s">
        <v>132</v>
      </c>
      <c r="D1" s="257" t="s">
        <v>133</v>
      </c>
      <c r="E1" s="257" t="s">
        <v>134</v>
      </c>
      <c r="F1" s="257" t="s">
        <v>135</v>
      </c>
      <c r="G1" s="257" t="s">
        <v>136</v>
      </c>
      <c r="H1" s="257" t="s">
        <v>137</v>
      </c>
      <c r="I1" s="257" t="s">
        <v>138</v>
      </c>
      <c r="J1" s="257" t="s">
        <v>139</v>
      </c>
      <c r="K1" s="257" t="s">
        <v>140</v>
      </c>
      <c r="L1" s="257" t="s">
        <v>141</v>
      </c>
      <c r="M1" s="257" t="s">
        <v>142</v>
      </c>
      <c r="N1" s="257" t="s">
        <v>143</v>
      </c>
      <c r="O1" s="257" t="s">
        <v>4</v>
      </c>
      <c r="P1" s="257" t="s">
        <v>144</v>
      </c>
      <c r="Q1" s="257" t="s">
        <v>8</v>
      </c>
      <c r="R1" s="257" t="s">
        <v>145</v>
      </c>
      <c r="S1" s="257" t="s">
        <v>146</v>
      </c>
      <c r="T1" s="257" t="s">
        <v>147</v>
      </c>
      <c r="U1" s="257" t="s">
        <v>148</v>
      </c>
      <c r="V1" s="257" t="s">
        <v>14</v>
      </c>
      <c r="W1" s="257" t="s">
        <v>149</v>
      </c>
      <c r="X1" s="257" t="s">
        <v>11</v>
      </c>
      <c r="Y1" s="257" t="s">
        <v>150</v>
      </c>
      <c r="Z1" s="257" t="s">
        <v>151</v>
      </c>
      <c r="AA1" s="257" t="s">
        <v>152</v>
      </c>
      <c r="AB1" s="257" t="s">
        <v>153</v>
      </c>
      <c r="AC1" s="257" t="s">
        <v>154</v>
      </c>
      <c r="AD1" s="257" t="s">
        <v>155</v>
      </c>
      <c r="AE1" s="257" t="s">
        <v>156</v>
      </c>
      <c r="AF1" s="257" t="s">
        <v>157</v>
      </c>
      <c r="AG1" s="257" t="s">
        <v>158</v>
      </c>
      <c r="AH1" s="257" t="s">
        <v>3</v>
      </c>
      <c r="AI1" s="257" t="s">
        <v>159</v>
      </c>
      <c r="AJ1" s="257" t="s">
        <v>160</v>
      </c>
      <c r="AK1" s="257" t="s">
        <v>161</v>
      </c>
      <c r="AL1" s="257" t="s">
        <v>162</v>
      </c>
      <c r="AM1" s="257" t="s">
        <v>12</v>
      </c>
      <c r="AN1" s="257" t="s">
        <v>13</v>
      </c>
      <c r="AO1" s="257" t="s">
        <v>163</v>
      </c>
      <c r="AP1" s="257" t="s">
        <v>164</v>
      </c>
    </row>
    <row r="2" spans="1:42" s="3" customFormat="1">
      <c r="A2" s="7">
        <v>1</v>
      </c>
      <c r="B2" s="7" t="str">
        <f>IF(Tabela1[[#This Row],[Placa]] = "VSP0001",FIDELIZAÇÃO!$C$34,IF(Tabela1[[#This Row],[Placa]] = "", "", Tabela1[[#This Row],[Placa]]))</f>
        <v>KAG0C07</v>
      </c>
      <c r="C2" s="257">
        <v>329</v>
      </c>
      <c r="D2" s="257" t="s">
        <v>165</v>
      </c>
      <c r="E2" s="257">
        <v>5</v>
      </c>
      <c r="F2" s="257" t="s">
        <v>166</v>
      </c>
      <c r="G2" s="258">
        <v>46297</v>
      </c>
      <c r="H2" s="257" t="s">
        <v>167</v>
      </c>
      <c r="I2" s="257">
        <v>179795</v>
      </c>
      <c r="J2" s="257">
        <v>58</v>
      </c>
      <c r="K2" s="259">
        <v>0.79716435185185186</v>
      </c>
      <c r="L2" s="257" t="s">
        <v>168</v>
      </c>
      <c r="M2" s="257">
        <v>1</v>
      </c>
      <c r="N2" s="257" t="s">
        <v>169</v>
      </c>
      <c r="O2" s="257" t="s">
        <v>123</v>
      </c>
      <c r="P2" s="257"/>
      <c r="Q2" s="257">
        <v>136</v>
      </c>
      <c r="R2" s="257" t="s">
        <v>170</v>
      </c>
      <c r="S2" s="257" t="s">
        <v>171</v>
      </c>
      <c r="T2" s="260">
        <v>0.14166666666666666</v>
      </c>
      <c r="U2" s="257" t="s">
        <v>172</v>
      </c>
      <c r="V2" s="257">
        <v>469.3</v>
      </c>
      <c r="W2" s="261">
        <v>1.0201388888888889</v>
      </c>
      <c r="X2" s="257">
        <v>1</v>
      </c>
      <c r="Y2" s="257">
        <v>103.18</v>
      </c>
      <c r="Z2" s="257">
        <v>81.88</v>
      </c>
      <c r="AA2" s="257">
        <v>2987</v>
      </c>
      <c r="AB2" s="257">
        <v>93.36</v>
      </c>
      <c r="AC2" s="257">
        <v>100</v>
      </c>
      <c r="AD2" s="257">
        <v>93.36</v>
      </c>
      <c r="AE2" s="257"/>
      <c r="AF2" s="257"/>
      <c r="AG2" s="257"/>
      <c r="AH2" s="257"/>
      <c r="AI2" s="257"/>
      <c r="AJ2" s="257" t="s">
        <v>173</v>
      </c>
      <c r="AK2" s="257" t="s">
        <v>174</v>
      </c>
      <c r="AL2" s="257"/>
      <c r="AM2" s="257" t="s">
        <v>175</v>
      </c>
      <c r="AN2" s="257" t="s">
        <v>176</v>
      </c>
      <c r="AO2" s="257">
        <v>4494</v>
      </c>
      <c r="AP2" s="257"/>
    </row>
    <row r="3" spans="1:42" s="3" customFormat="1">
      <c r="A3" s="7">
        <f>A2+1</f>
        <v>2</v>
      </c>
      <c r="B3" s="7" t="str">
        <f>IF(Tabela1[[#This Row],[Placa]] = "VSP0001",FIDELIZAÇÃO!$C$34,IF(Tabela1[[#This Row],[Placa]] = "", "", Tabela1[[#This Row],[Placa]]))</f>
        <v>IQU6H77</v>
      </c>
      <c r="C3" s="257">
        <v>329</v>
      </c>
      <c r="D3" s="257" t="s">
        <v>165</v>
      </c>
      <c r="E3" s="257">
        <v>5</v>
      </c>
      <c r="F3" s="257" t="s">
        <v>166</v>
      </c>
      <c r="G3" s="258">
        <v>46297</v>
      </c>
      <c r="H3" s="257" t="s">
        <v>167</v>
      </c>
      <c r="I3" s="257">
        <v>179796</v>
      </c>
      <c r="J3" s="257">
        <v>58</v>
      </c>
      <c r="K3" s="259">
        <v>0.79754629629629625</v>
      </c>
      <c r="L3" s="257" t="s">
        <v>168</v>
      </c>
      <c r="M3" s="257">
        <v>1</v>
      </c>
      <c r="N3" s="257" t="s">
        <v>169</v>
      </c>
      <c r="O3" s="257" t="s">
        <v>124</v>
      </c>
      <c r="P3" s="257"/>
      <c r="Q3" s="257">
        <v>216</v>
      </c>
      <c r="R3" s="257" t="s">
        <v>170</v>
      </c>
      <c r="S3" s="257" t="s">
        <v>171</v>
      </c>
      <c r="T3" s="260">
        <v>0.1388888888888889</v>
      </c>
      <c r="U3" s="257" t="s">
        <v>172</v>
      </c>
      <c r="V3" s="257">
        <v>469.7</v>
      </c>
      <c r="W3" s="261">
        <v>1.0243055555555556</v>
      </c>
      <c r="X3" s="257">
        <v>1</v>
      </c>
      <c r="Y3" s="257">
        <v>92.95</v>
      </c>
      <c r="Z3" s="257">
        <v>73.760000000000005</v>
      </c>
      <c r="AA3" s="257">
        <v>2725</v>
      </c>
      <c r="AB3" s="257">
        <v>85.44</v>
      </c>
      <c r="AC3" s="257">
        <v>100</v>
      </c>
      <c r="AD3" s="257">
        <v>85.44</v>
      </c>
      <c r="AE3" s="257"/>
      <c r="AF3" s="257"/>
      <c r="AG3" s="257"/>
      <c r="AH3" s="257"/>
      <c r="AI3" s="257"/>
      <c r="AJ3" s="257" t="s">
        <v>173</v>
      </c>
      <c r="AK3" s="257" t="s">
        <v>174</v>
      </c>
      <c r="AL3" s="257"/>
      <c r="AM3" s="257" t="s">
        <v>177</v>
      </c>
      <c r="AN3" s="257" t="s">
        <v>178</v>
      </c>
      <c r="AO3" s="257">
        <v>6525</v>
      </c>
      <c r="AP3" s="257"/>
    </row>
    <row r="4" spans="1:42" s="3" customFormat="1">
      <c r="A4" s="7">
        <f t="shared" ref="A4:A58" si="0">A3+1</f>
        <v>3</v>
      </c>
      <c r="B4" s="7" t="str">
        <f>IF(Tabela1[[#This Row],[Placa]] = "VSP0001",FIDELIZAÇÃO!$C$34,IF(Tabela1[[#This Row],[Placa]] = "", "", Tabela1[[#This Row],[Placa]]))</f>
        <v>MDB1A18</v>
      </c>
      <c r="C4" s="257">
        <v>329</v>
      </c>
      <c r="D4" s="257" t="s">
        <v>165</v>
      </c>
      <c r="E4" s="257">
        <v>5</v>
      </c>
      <c r="F4" s="257" t="s">
        <v>166</v>
      </c>
      <c r="G4" s="258">
        <v>46297</v>
      </c>
      <c r="H4" s="257" t="s">
        <v>167</v>
      </c>
      <c r="I4" s="257">
        <v>179797</v>
      </c>
      <c r="J4" s="257">
        <v>58</v>
      </c>
      <c r="K4" s="259">
        <v>0.79791666666666672</v>
      </c>
      <c r="L4" s="257" t="s">
        <v>168</v>
      </c>
      <c r="M4" s="257">
        <v>1</v>
      </c>
      <c r="N4" s="257" t="s">
        <v>169</v>
      </c>
      <c r="O4" s="257" t="s">
        <v>121</v>
      </c>
      <c r="P4" s="257"/>
      <c r="Q4" s="257">
        <v>305</v>
      </c>
      <c r="R4" s="257" t="s">
        <v>170</v>
      </c>
      <c r="S4" s="257" t="s">
        <v>171</v>
      </c>
      <c r="T4" s="260">
        <v>0.1388888888888889</v>
      </c>
      <c r="U4" s="257" t="s">
        <v>179</v>
      </c>
      <c r="V4" s="257">
        <v>306.56</v>
      </c>
      <c r="W4" s="259">
        <v>0.34861111111111109</v>
      </c>
      <c r="X4" s="257">
        <v>1</v>
      </c>
      <c r="Y4" s="257">
        <v>105.71</v>
      </c>
      <c r="Z4" s="257">
        <v>62.92</v>
      </c>
      <c r="AA4" s="257">
        <v>3106</v>
      </c>
      <c r="AB4" s="257">
        <v>72.23</v>
      </c>
      <c r="AC4" s="257">
        <v>100</v>
      </c>
      <c r="AD4" s="257">
        <v>72.23</v>
      </c>
      <c r="AE4" s="257"/>
      <c r="AF4" s="257"/>
      <c r="AG4" s="257"/>
      <c r="AH4" s="257"/>
      <c r="AI4" s="257"/>
      <c r="AJ4" s="257" t="s">
        <v>173</v>
      </c>
      <c r="AK4" s="262"/>
      <c r="AL4" s="257"/>
      <c r="AM4" s="257" t="s">
        <v>180</v>
      </c>
      <c r="AN4" s="257" t="s">
        <v>181</v>
      </c>
      <c r="AO4" s="257">
        <v>9639</v>
      </c>
      <c r="AP4" s="257"/>
    </row>
    <row r="5" spans="1:42" s="3" customFormat="1">
      <c r="A5" s="7">
        <f t="shared" si="0"/>
        <v>4</v>
      </c>
      <c r="B5" s="7" t="str">
        <f>IF(Tabela1[[#This Row],[Placa]] = "VSP0001",FIDELIZAÇÃO!$C$34,IF(Tabela1[[#This Row],[Placa]] = "", "", Tabela1[[#This Row],[Placa]]))</f>
        <v>NXK5H74</v>
      </c>
      <c r="C5" s="257">
        <v>329</v>
      </c>
      <c r="D5" s="257" t="s">
        <v>165</v>
      </c>
      <c r="E5" s="257">
        <v>5</v>
      </c>
      <c r="F5" s="257" t="s">
        <v>166</v>
      </c>
      <c r="G5" s="258">
        <v>46297</v>
      </c>
      <c r="H5" s="257" t="s">
        <v>167</v>
      </c>
      <c r="I5" s="257">
        <v>179798</v>
      </c>
      <c r="J5" s="257">
        <v>58</v>
      </c>
      <c r="K5" s="259">
        <v>0.79828703703703707</v>
      </c>
      <c r="L5" s="257" t="s">
        <v>168</v>
      </c>
      <c r="M5" s="257">
        <v>1</v>
      </c>
      <c r="N5" s="257" t="s">
        <v>169</v>
      </c>
      <c r="O5" s="257" t="s">
        <v>125</v>
      </c>
      <c r="P5" s="257"/>
      <c r="Q5" s="257">
        <v>234</v>
      </c>
      <c r="R5" s="257" t="s">
        <v>170</v>
      </c>
      <c r="S5" s="257" t="s">
        <v>171</v>
      </c>
      <c r="T5" s="260">
        <v>0.1388888888888889</v>
      </c>
      <c r="U5" s="257" t="s">
        <v>172</v>
      </c>
      <c r="V5" s="257">
        <v>442.75</v>
      </c>
      <c r="W5" s="261">
        <v>1.0006944444444446</v>
      </c>
      <c r="X5" s="257">
        <v>1</v>
      </c>
      <c r="Y5" s="257">
        <v>87.63</v>
      </c>
      <c r="Z5" s="257">
        <v>69.540000000000006</v>
      </c>
      <c r="AA5" s="257">
        <v>2591</v>
      </c>
      <c r="AB5" s="257">
        <v>93.55</v>
      </c>
      <c r="AC5" s="257">
        <v>100</v>
      </c>
      <c r="AD5" s="257">
        <v>93.55</v>
      </c>
      <c r="AE5" s="257"/>
      <c r="AF5" s="257"/>
      <c r="AG5" s="257"/>
      <c r="AH5" s="257"/>
      <c r="AI5" s="257"/>
      <c r="AJ5" s="257" t="s">
        <v>173</v>
      </c>
      <c r="AK5" s="257" t="s">
        <v>174</v>
      </c>
      <c r="AL5" s="257"/>
      <c r="AM5" s="257" t="s">
        <v>182</v>
      </c>
      <c r="AN5" s="257" t="s">
        <v>183</v>
      </c>
      <c r="AO5" s="257">
        <v>13759</v>
      </c>
      <c r="AP5" s="257"/>
    </row>
    <row r="6" spans="1:42" s="3" customFormat="1">
      <c r="A6" s="7">
        <f t="shared" si="0"/>
        <v>5</v>
      </c>
      <c r="B6" s="7" t="str">
        <f>IF(Tabela1[[#This Row],[Placa]] = "VSP0001",FIDELIZAÇÃO!$C$34,IF(Tabela1[[#This Row],[Placa]] = "", "", Tabela1[[#This Row],[Placa]]))</f>
        <v>EWU3H21</v>
      </c>
      <c r="C6" s="257">
        <v>329</v>
      </c>
      <c r="D6" s="257" t="s">
        <v>165</v>
      </c>
      <c r="E6" s="257">
        <v>5</v>
      </c>
      <c r="F6" s="257" t="s">
        <v>166</v>
      </c>
      <c r="G6" s="258">
        <v>46297</v>
      </c>
      <c r="H6" s="257" t="s">
        <v>167</v>
      </c>
      <c r="I6" s="257">
        <v>179799</v>
      </c>
      <c r="J6" s="257">
        <v>58</v>
      </c>
      <c r="K6" s="259">
        <v>0.79865740740740743</v>
      </c>
      <c r="L6" s="257" t="s">
        <v>168</v>
      </c>
      <c r="M6" s="257">
        <v>1</v>
      </c>
      <c r="N6" s="257" t="s">
        <v>184</v>
      </c>
      <c r="O6" s="257" t="s">
        <v>113</v>
      </c>
      <c r="P6" s="257"/>
      <c r="Q6" s="257">
        <v>273</v>
      </c>
      <c r="R6" s="257" t="s">
        <v>170</v>
      </c>
      <c r="S6" s="257" t="s">
        <v>171</v>
      </c>
      <c r="T6" s="260">
        <v>0.14097222222222222</v>
      </c>
      <c r="U6" s="257" t="s">
        <v>172</v>
      </c>
      <c r="V6" s="257">
        <v>364.68</v>
      </c>
      <c r="W6" s="261">
        <v>1.226388888888889</v>
      </c>
      <c r="X6" s="257">
        <v>1</v>
      </c>
      <c r="Y6" s="257">
        <v>303.97000000000003</v>
      </c>
      <c r="Z6" s="257">
        <v>60.31</v>
      </c>
      <c r="AA6" s="257">
        <v>8693</v>
      </c>
      <c r="AB6" s="257">
        <v>53.62</v>
      </c>
      <c r="AC6" s="257">
        <v>100</v>
      </c>
      <c r="AD6" s="257">
        <v>60.31</v>
      </c>
      <c r="AE6" s="257"/>
      <c r="AF6" s="257"/>
      <c r="AG6" s="257"/>
      <c r="AH6" s="257"/>
      <c r="AI6" s="257"/>
      <c r="AJ6" s="257" t="s">
        <v>173</v>
      </c>
      <c r="AK6" s="257" t="s">
        <v>174</v>
      </c>
      <c r="AL6" s="257"/>
      <c r="AM6" s="257" t="s">
        <v>180</v>
      </c>
      <c r="AN6" s="257" t="s">
        <v>181</v>
      </c>
      <c r="AO6" s="257">
        <v>2151</v>
      </c>
      <c r="AP6" s="257"/>
    </row>
    <row r="7" spans="1:42" s="3" customFormat="1">
      <c r="A7" s="7">
        <f t="shared" si="0"/>
        <v>6</v>
      </c>
      <c r="B7" s="7" t="str">
        <f>IF(Tabela1[[#This Row],[Placa]] = "VSP0001",FIDELIZAÇÃO!$C$34,IF(Tabela1[[#This Row],[Placa]] = "", "", Tabela1[[#This Row],[Placa]]))</f>
        <v>DVT4G32</v>
      </c>
      <c r="C7" s="257">
        <v>329</v>
      </c>
      <c r="D7" s="257" t="s">
        <v>165</v>
      </c>
      <c r="E7" s="257">
        <v>5</v>
      </c>
      <c r="F7" s="257" t="s">
        <v>166</v>
      </c>
      <c r="G7" s="258">
        <v>46297</v>
      </c>
      <c r="H7" s="257" t="s">
        <v>167</v>
      </c>
      <c r="I7" s="257">
        <v>179800</v>
      </c>
      <c r="J7" s="257">
        <v>58</v>
      </c>
      <c r="K7" s="259">
        <v>0.79903935185185182</v>
      </c>
      <c r="L7" s="257" t="s">
        <v>168</v>
      </c>
      <c r="M7" s="257">
        <v>1</v>
      </c>
      <c r="N7" s="257" t="s">
        <v>184</v>
      </c>
      <c r="O7" s="257" t="s">
        <v>118</v>
      </c>
      <c r="P7" s="257"/>
      <c r="Q7" s="257">
        <v>276</v>
      </c>
      <c r="R7" s="257" t="s">
        <v>170</v>
      </c>
      <c r="S7" s="257" t="s">
        <v>171</v>
      </c>
      <c r="T7" s="260">
        <v>0.14097222222222222</v>
      </c>
      <c r="U7" s="257" t="s">
        <v>172</v>
      </c>
      <c r="V7" s="257">
        <v>423.4</v>
      </c>
      <c r="W7" s="261">
        <v>1.2118055555555556</v>
      </c>
      <c r="X7" s="257">
        <v>1</v>
      </c>
      <c r="Y7" s="257">
        <v>185.44</v>
      </c>
      <c r="Z7" s="257">
        <v>44.15</v>
      </c>
      <c r="AA7" s="257">
        <v>5139</v>
      </c>
      <c r="AB7" s="257">
        <v>63.53</v>
      </c>
      <c r="AC7" s="257">
        <v>100</v>
      </c>
      <c r="AD7" s="257">
        <v>63.53</v>
      </c>
      <c r="AE7" s="257"/>
      <c r="AF7" s="257"/>
      <c r="AG7" s="257"/>
      <c r="AH7" s="257"/>
      <c r="AI7" s="257"/>
      <c r="AJ7" s="257" t="s">
        <v>173</v>
      </c>
      <c r="AK7" s="257" t="s">
        <v>174</v>
      </c>
      <c r="AL7" s="257"/>
      <c r="AM7" s="257" t="s">
        <v>185</v>
      </c>
      <c r="AN7" s="257" t="s">
        <v>186</v>
      </c>
      <c r="AO7" s="257">
        <v>10573</v>
      </c>
      <c r="AP7" s="257"/>
    </row>
    <row r="8" spans="1:42" s="3" customFormat="1">
      <c r="A8" s="7">
        <f t="shared" si="0"/>
        <v>7</v>
      </c>
      <c r="B8" s="7" t="str">
        <f>IF(Tabela1[[#This Row],[Placa]] = "VSP0001",FIDELIZAÇÃO!$C$34,IF(Tabela1[[#This Row],[Placa]] = "", "", Tabela1[[#This Row],[Placa]]))</f>
        <v>FML6122</v>
      </c>
      <c r="C8" s="257">
        <v>329</v>
      </c>
      <c r="D8" s="257" t="s">
        <v>165</v>
      </c>
      <c r="E8" s="257">
        <v>5</v>
      </c>
      <c r="F8" s="257" t="s">
        <v>166</v>
      </c>
      <c r="G8" s="258">
        <v>46297</v>
      </c>
      <c r="H8" s="257" t="s">
        <v>167</v>
      </c>
      <c r="I8" s="257">
        <v>179801</v>
      </c>
      <c r="J8" s="257">
        <v>28</v>
      </c>
      <c r="K8" s="259">
        <v>0.82020833333333332</v>
      </c>
      <c r="L8" s="257" t="s">
        <v>187</v>
      </c>
      <c r="M8" s="257">
        <v>1</v>
      </c>
      <c r="N8" s="257" t="s">
        <v>188</v>
      </c>
      <c r="O8" s="257" t="s">
        <v>56</v>
      </c>
      <c r="P8" s="257"/>
      <c r="Q8" s="257">
        <v>217</v>
      </c>
      <c r="R8" s="257" t="s">
        <v>189</v>
      </c>
      <c r="S8" s="257" t="s">
        <v>171</v>
      </c>
      <c r="T8" s="260">
        <v>0.97847222222222219</v>
      </c>
      <c r="U8" s="257" t="s">
        <v>179</v>
      </c>
      <c r="V8" s="257">
        <v>272.41000000000003</v>
      </c>
      <c r="W8" s="259">
        <v>0.43541666666666667</v>
      </c>
      <c r="X8" s="257">
        <v>14</v>
      </c>
      <c r="Y8" s="257">
        <v>140.53</v>
      </c>
      <c r="Z8" s="257">
        <v>45.62</v>
      </c>
      <c r="AA8" s="257">
        <v>3719</v>
      </c>
      <c r="AB8" s="257">
        <v>46.66</v>
      </c>
      <c r="AC8" s="257">
        <v>100</v>
      </c>
      <c r="AD8" s="257">
        <v>46.66</v>
      </c>
      <c r="AE8" s="257"/>
      <c r="AF8" s="257"/>
      <c r="AG8" s="257"/>
      <c r="AH8" s="257"/>
      <c r="AI8" s="257"/>
      <c r="AJ8" s="257" t="s">
        <v>173</v>
      </c>
      <c r="AK8" s="257" t="s">
        <v>174</v>
      </c>
      <c r="AL8" s="257"/>
      <c r="AM8" s="257" t="s">
        <v>190</v>
      </c>
      <c r="AN8" s="257" t="s">
        <v>191</v>
      </c>
      <c r="AO8" s="257" t="s">
        <v>192</v>
      </c>
      <c r="AP8" s="262"/>
    </row>
    <row r="9" spans="1:42" s="3" customFormat="1">
      <c r="A9" s="7">
        <f t="shared" si="0"/>
        <v>8</v>
      </c>
      <c r="B9" s="7" t="str">
        <f>IF(Tabela1[[#This Row],[Placa]] = "VSP0001",FIDELIZAÇÃO!$C$34,IF(Tabela1[[#This Row],[Placa]] = "", "", Tabela1[[#This Row],[Placa]]))</f>
        <v>FCO7153</v>
      </c>
      <c r="C9" s="257">
        <v>329</v>
      </c>
      <c r="D9" s="257" t="s">
        <v>165</v>
      </c>
      <c r="E9" s="257">
        <v>5</v>
      </c>
      <c r="F9" s="257" t="s">
        <v>166</v>
      </c>
      <c r="G9" s="258">
        <v>46297</v>
      </c>
      <c r="H9" s="257" t="s">
        <v>167</v>
      </c>
      <c r="I9" s="257">
        <v>179802</v>
      </c>
      <c r="J9" s="257">
        <v>28</v>
      </c>
      <c r="K9" s="259">
        <v>0.82056712962962963</v>
      </c>
      <c r="L9" s="257" t="s">
        <v>187</v>
      </c>
      <c r="M9" s="257">
        <v>1</v>
      </c>
      <c r="N9" s="257" t="s">
        <v>188</v>
      </c>
      <c r="O9" s="257" t="s">
        <v>57</v>
      </c>
      <c r="P9" s="257"/>
      <c r="Q9" s="257">
        <v>15</v>
      </c>
      <c r="R9" s="257" t="s">
        <v>189</v>
      </c>
      <c r="S9" s="257" t="s">
        <v>171</v>
      </c>
      <c r="T9" s="260">
        <v>0.94027777777777777</v>
      </c>
      <c r="U9" s="257" t="s">
        <v>179</v>
      </c>
      <c r="V9" s="257">
        <v>195.07</v>
      </c>
      <c r="W9" s="259">
        <v>0.4201388888888889</v>
      </c>
      <c r="X9" s="257">
        <v>16</v>
      </c>
      <c r="Y9" s="257">
        <v>177</v>
      </c>
      <c r="Z9" s="257">
        <v>57.46</v>
      </c>
      <c r="AA9" s="257">
        <v>4498</v>
      </c>
      <c r="AB9" s="257">
        <v>53.86</v>
      </c>
      <c r="AC9" s="257">
        <v>100</v>
      </c>
      <c r="AD9" s="257">
        <v>57.46</v>
      </c>
      <c r="AE9" s="257"/>
      <c r="AF9" s="257"/>
      <c r="AG9" s="257"/>
      <c r="AH9" s="257"/>
      <c r="AI9" s="257"/>
      <c r="AJ9" s="257" t="s">
        <v>173</v>
      </c>
      <c r="AK9" s="262"/>
      <c r="AL9" s="257"/>
      <c r="AM9" s="257" t="s">
        <v>193</v>
      </c>
      <c r="AN9" s="257" t="s">
        <v>194</v>
      </c>
      <c r="AO9" s="257" t="s">
        <v>195</v>
      </c>
      <c r="AP9" s="262"/>
    </row>
    <row r="10" spans="1:42" s="3" customFormat="1">
      <c r="A10" s="7">
        <f t="shared" si="0"/>
        <v>9</v>
      </c>
      <c r="B10" s="7" t="str">
        <f>IF(Tabela1[[#This Row],[Placa]] = "VSP0001",FIDELIZAÇÃO!$C$34,IF(Tabela1[[#This Row],[Placa]] = "", "", Tabela1[[#This Row],[Placa]]))</f>
        <v>FUX6061</v>
      </c>
      <c r="C10" s="257">
        <v>329</v>
      </c>
      <c r="D10" s="257" t="s">
        <v>165</v>
      </c>
      <c r="E10" s="257">
        <v>5</v>
      </c>
      <c r="F10" s="257" t="s">
        <v>166</v>
      </c>
      <c r="G10" s="258">
        <v>46297</v>
      </c>
      <c r="H10" s="257" t="s">
        <v>167</v>
      </c>
      <c r="I10" s="257">
        <v>179803</v>
      </c>
      <c r="J10" s="257">
        <v>28</v>
      </c>
      <c r="K10" s="259">
        <v>0.82092592592592595</v>
      </c>
      <c r="L10" s="257" t="s">
        <v>187</v>
      </c>
      <c r="M10" s="257">
        <v>1</v>
      </c>
      <c r="N10" s="257" t="s">
        <v>188</v>
      </c>
      <c r="O10" s="257" t="s">
        <v>102</v>
      </c>
      <c r="P10" s="257"/>
      <c r="Q10" s="257">
        <v>244</v>
      </c>
      <c r="R10" s="257" t="s">
        <v>189</v>
      </c>
      <c r="S10" s="257" t="s">
        <v>171</v>
      </c>
      <c r="T10" s="260">
        <v>0.11041666666666666</v>
      </c>
      <c r="U10" s="257" t="s">
        <v>196</v>
      </c>
      <c r="V10" s="257">
        <v>65.25</v>
      </c>
      <c r="W10" s="259">
        <v>0.42986111111111114</v>
      </c>
      <c r="X10" s="257">
        <v>17</v>
      </c>
      <c r="Y10" s="257">
        <v>188.5</v>
      </c>
      <c r="Z10" s="257">
        <v>61.2</v>
      </c>
      <c r="AA10" s="257">
        <v>4992</v>
      </c>
      <c r="AB10" s="257">
        <v>59.77</v>
      </c>
      <c r="AC10" s="257">
        <v>100</v>
      </c>
      <c r="AD10" s="257">
        <v>61.2</v>
      </c>
      <c r="AE10" s="257"/>
      <c r="AF10" s="257"/>
      <c r="AG10" s="257"/>
      <c r="AH10" s="257"/>
      <c r="AI10" s="257"/>
      <c r="AJ10" s="257" t="s">
        <v>173</v>
      </c>
      <c r="AK10" s="262"/>
      <c r="AL10" s="257"/>
      <c r="AM10" s="257" t="s">
        <v>197</v>
      </c>
      <c r="AN10" s="257" t="s">
        <v>198</v>
      </c>
      <c r="AO10" s="257" t="s">
        <v>199</v>
      </c>
      <c r="AP10" s="262"/>
    </row>
    <row r="11" spans="1:42" s="3" customFormat="1">
      <c r="A11" s="7">
        <f t="shared" si="0"/>
        <v>10</v>
      </c>
      <c r="B11" s="7" t="str">
        <f>IF(Tabela1[[#This Row],[Placa]] = "VSP0001",FIDELIZAÇÃO!$C$34,IF(Tabela1[[#This Row],[Placa]] = "", "", Tabela1[[#This Row],[Placa]]))</f>
        <v>RTI1I17</v>
      </c>
      <c r="C11" s="257">
        <v>329</v>
      </c>
      <c r="D11" s="257" t="s">
        <v>165</v>
      </c>
      <c r="E11" s="257">
        <v>5</v>
      </c>
      <c r="F11" s="257" t="s">
        <v>166</v>
      </c>
      <c r="G11" s="258">
        <v>46297</v>
      </c>
      <c r="H11" s="257" t="s">
        <v>167</v>
      </c>
      <c r="I11" s="257">
        <v>179804</v>
      </c>
      <c r="J11" s="257">
        <v>28</v>
      </c>
      <c r="K11" s="259">
        <v>0.82128472222222226</v>
      </c>
      <c r="L11" s="257" t="s">
        <v>187</v>
      </c>
      <c r="M11" s="257">
        <v>1</v>
      </c>
      <c r="N11" s="257" t="s">
        <v>169</v>
      </c>
      <c r="O11" s="257" t="s">
        <v>61</v>
      </c>
      <c r="P11" s="257"/>
      <c r="Q11" s="257">
        <v>5</v>
      </c>
      <c r="R11" s="257" t="s">
        <v>189</v>
      </c>
      <c r="S11" s="257" t="s">
        <v>171</v>
      </c>
      <c r="T11" s="260">
        <v>0.13958333333333334</v>
      </c>
      <c r="U11" s="257" t="s">
        <v>179</v>
      </c>
      <c r="V11" s="257">
        <v>66.05</v>
      </c>
      <c r="W11" s="259">
        <v>0.33958333333333335</v>
      </c>
      <c r="X11" s="257">
        <v>21</v>
      </c>
      <c r="Y11" s="257">
        <v>51.83</v>
      </c>
      <c r="Z11" s="257">
        <v>74.040000000000006</v>
      </c>
      <c r="AA11" s="257">
        <v>1347</v>
      </c>
      <c r="AB11" s="257">
        <v>96.92</v>
      </c>
      <c r="AC11" s="257">
        <v>100</v>
      </c>
      <c r="AD11" s="257">
        <v>96.92</v>
      </c>
      <c r="AE11" s="257"/>
      <c r="AF11" s="257"/>
      <c r="AG11" s="257"/>
      <c r="AH11" s="257"/>
      <c r="AI11" s="257"/>
      <c r="AJ11" s="257" t="s">
        <v>173</v>
      </c>
      <c r="AK11" s="262"/>
      <c r="AL11" s="257"/>
      <c r="AM11" s="257" t="s">
        <v>200</v>
      </c>
      <c r="AN11" s="257" t="s">
        <v>201</v>
      </c>
      <c r="AO11" s="257" t="s">
        <v>202</v>
      </c>
      <c r="AP11" s="262"/>
    </row>
    <row r="12" spans="1:42" s="3" customFormat="1">
      <c r="A12" s="7">
        <f t="shared" si="0"/>
        <v>11</v>
      </c>
      <c r="B12" s="7" t="str">
        <f>IF(Tabela1[[#This Row],[Placa]] = "VSP0001",FIDELIZAÇÃO!$C$34,IF(Tabela1[[#This Row],[Placa]] = "", "", Tabela1[[#This Row],[Placa]]))</f>
        <v>GIU0950</v>
      </c>
      <c r="C12" s="257">
        <v>329</v>
      </c>
      <c r="D12" s="257" t="s">
        <v>165</v>
      </c>
      <c r="E12" s="257">
        <v>5</v>
      </c>
      <c r="F12" s="257" t="s">
        <v>166</v>
      </c>
      <c r="G12" s="258">
        <v>46297</v>
      </c>
      <c r="H12" s="257" t="s">
        <v>167</v>
      </c>
      <c r="I12" s="257">
        <v>179805</v>
      </c>
      <c r="J12" s="257">
        <v>28</v>
      </c>
      <c r="K12" s="259">
        <v>0.82165509259259262</v>
      </c>
      <c r="L12" s="257" t="s">
        <v>187</v>
      </c>
      <c r="M12" s="257">
        <v>1</v>
      </c>
      <c r="N12" s="257" t="s">
        <v>188</v>
      </c>
      <c r="O12" s="257" t="s">
        <v>51</v>
      </c>
      <c r="P12" s="257"/>
      <c r="Q12" s="257">
        <v>161</v>
      </c>
      <c r="R12" s="257" t="s">
        <v>189</v>
      </c>
      <c r="S12" s="257" t="s">
        <v>171</v>
      </c>
      <c r="T12" s="260">
        <v>0.94027777777777777</v>
      </c>
      <c r="U12" s="257" t="s">
        <v>179</v>
      </c>
      <c r="V12" s="257">
        <v>154.16999999999999</v>
      </c>
      <c r="W12" s="259">
        <v>0.43680555555555556</v>
      </c>
      <c r="X12" s="257">
        <v>23</v>
      </c>
      <c r="Y12" s="257">
        <v>156.29</v>
      </c>
      <c r="Z12" s="257">
        <v>50.74</v>
      </c>
      <c r="AA12" s="257">
        <v>4082</v>
      </c>
      <c r="AB12" s="257">
        <v>48.88</v>
      </c>
      <c r="AC12" s="257">
        <v>100</v>
      </c>
      <c r="AD12" s="257">
        <v>50.74</v>
      </c>
      <c r="AE12" s="257"/>
      <c r="AF12" s="257"/>
      <c r="AG12" s="257"/>
      <c r="AH12" s="257"/>
      <c r="AI12" s="257"/>
      <c r="AJ12" s="257" t="s">
        <v>203</v>
      </c>
      <c r="AK12" s="257" t="s">
        <v>174</v>
      </c>
      <c r="AL12" s="257"/>
      <c r="AM12" s="257" t="s">
        <v>204</v>
      </c>
      <c r="AN12" s="257" t="s">
        <v>205</v>
      </c>
      <c r="AO12" s="257" t="s">
        <v>206</v>
      </c>
      <c r="AP12" s="262"/>
    </row>
    <row r="13" spans="1:42" s="3" customFormat="1">
      <c r="A13" s="7">
        <f t="shared" si="0"/>
        <v>12</v>
      </c>
      <c r="B13" s="7" t="str">
        <f>IF(Tabela1[[#This Row],[Placa]] = "VSP0001",FIDELIZAÇÃO!$C$34,IF(Tabela1[[#This Row],[Placa]] = "", "", Tabela1[[#This Row],[Placa]]))</f>
        <v>FEU8905</v>
      </c>
      <c r="C13" s="257">
        <v>329</v>
      </c>
      <c r="D13" s="257" t="s">
        <v>165</v>
      </c>
      <c r="E13" s="257">
        <v>5</v>
      </c>
      <c r="F13" s="257" t="s">
        <v>166</v>
      </c>
      <c r="G13" s="258">
        <v>46297</v>
      </c>
      <c r="H13" s="257" t="s">
        <v>167</v>
      </c>
      <c r="I13" s="257">
        <v>179806</v>
      </c>
      <c r="J13" s="257">
        <v>28</v>
      </c>
      <c r="K13" s="259">
        <v>0.82201388888888893</v>
      </c>
      <c r="L13" s="257" t="s">
        <v>187</v>
      </c>
      <c r="M13" s="257">
        <v>1</v>
      </c>
      <c r="N13" s="257" t="s">
        <v>188</v>
      </c>
      <c r="O13" s="257" t="s">
        <v>48</v>
      </c>
      <c r="P13" s="257"/>
      <c r="Q13" s="257">
        <v>48</v>
      </c>
      <c r="R13" s="257" t="s">
        <v>189</v>
      </c>
      <c r="S13" s="257" t="s">
        <v>171</v>
      </c>
      <c r="T13" s="260">
        <v>0.95416666666666672</v>
      </c>
      <c r="U13" s="257" t="s">
        <v>179</v>
      </c>
      <c r="V13" s="257">
        <v>220.86</v>
      </c>
      <c r="W13" s="259">
        <v>0.42638888888888887</v>
      </c>
      <c r="X13" s="257">
        <v>24</v>
      </c>
      <c r="Y13" s="257">
        <v>116.61</v>
      </c>
      <c r="Z13" s="257">
        <v>37.86</v>
      </c>
      <c r="AA13" s="257">
        <v>3048</v>
      </c>
      <c r="AB13" s="257">
        <v>36.5</v>
      </c>
      <c r="AC13" s="257">
        <v>100</v>
      </c>
      <c r="AD13" s="257">
        <v>37.86</v>
      </c>
      <c r="AE13" s="257"/>
      <c r="AF13" s="257"/>
      <c r="AG13" s="257"/>
      <c r="AH13" s="257"/>
      <c r="AI13" s="257"/>
      <c r="AJ13" s="257" t="s">
        <v>173</v>
      </c>
      <c r="AK13" s="262"/>
      <c r="AL13" s="257"/>
      <c r="AM13" s="257" t="s">
        <v>207</v>
      </c>
      <c r="AN13" s="257" t="s">
        <v>208</v>
      </c>
      <c r="AO13" s="257" t="s">
        <v>209</v>
      </c>
      <c r="AP13" s="262"/>
    </row>
    <row r="14" spans="1:42" s="3" customFormat="1">
      <c r="A14" s="7">
        <f t="shared" si="0"/>
        <v>13</v>
      </c>
      <c r="B14" s="7" t="str">
        <f>IF(Tabela1[[#This Row],[Placa]] = "VSP0001",FIDELIZAÇÃO!$C$34,IF(Tabela1[[#This Row],[Placa]] = "", "", Tabela1[[#This Row],[Placa]]))</f>
        <v>FUE8714</v>
      </c>
      <c r="C14" s="257">
        <v>329</v>
      </c>
      <c r="D14" s="257" t="s">
        <v>165</v>
      </c>
      <c r="E14" s="257">
        <v>5</v>
      </c>
      <c r="F14" s="257" t="s">
        <v>166</v>
      </c>
      <c r="G14" s="258">
        <v>46297</v>
      </c>
      <c r="H14" s="257" t="s">
        <v>167</v>
      </c>
      <c r="I14" s="257">
        <v>179807</v>
      </c>
      <c r="J14" s="257">
        <v>28</v>
      </c>
      <c r="K14" s="259">
        <v>0.82237268518518514</v>
      </c>
      <c r="L14" s="257" t="s">
        <v>187</v>
      </c>
      <c r="M14" s="257">
        <v>1</v>
      </c>
      <c r="N14" s="257" t="s">
        <v>188</v>
      </c>
      <c r="O14" s="257" t="s">
        <v>54</v>
      </c>
      <c r="P14" s="257"/>
      <c r="Q14" s="257">
        <v>14</v>
      </c>
      <c r="R14" s="257" t="s">
        <v>189</v>
      </c>
      <c r="S14" s="257" t="s">
        <v>171</v>
      </c>
      <c r="T14" s="260">
        <v>0.95416666666666672</v>
      </c>
      <c r="U14" s="257" t="s">
        <v>179</v>
      </c>
      <c r="V14" s="257">
        <v>174.97</v>
      </c>
      <c r="W14" s="259">
        <v>0.43125000000000002</v>
      </c>
      <c r="X14" s="257">
        <v>18</v>
      </c>
      <c r="Y14" s="257">
        <v>134.82</v>
      </c>
      <c r="Z14" s="257">
        <v>43.77</v>
      </c>
      <c r="AA14" s="257">
        <v>3578</v>
      </c>
      <c r="AB14" s="257">
        <v>42.84</v>
      </c>
      <c r="AC14" s="257">
        <v>100</v>
      </c>
      <c r="AD14" s="257">
        <v>43.77</v>
      </c>
      <c r="AE14" s="257"/>
      <c r="AF14" s="257"/>
      <c r="AG14" s="257"/>
      <c r="AH14" s="257"/>
      <c r="AI14" s="257"/>
      <c r="AJ14" s="257" t="s">
        <v>173</v>
      </c>
      <c r="AK14" s="257" t="s">
        <v>174</v>
      </c>
      <c r="AL14" s="257"/>
      <c r="AM14" s="257" t="s">
        <v>210</v>
      </c>
      <c r="AN14" s="257" t="s">
        <v>211</v>
      </c>
      <c r="AO14" s="257" t="s">
        <v>212</v>
      </c>
      <c r="AP14" s="262"/>
    </row>
    <row r="15" spans="1:42" s="3" customFormat="1">
      <c r="A15" s="7">
        <f t="shared" si="0"/>
        <v>14</v>
      </c>
      <c r="B15" s="7" t="str">
        <f>IF(Tabela1[[#This Row],[Placa]] = "VSP0001",FIDELIZAÇÃO!$C$34,IF(Tabela1[[#This Row],[Placa]] = "", "", Tabela1[[#This Row],[Placa]]))</f>
        <v>GAU0G73</v>
      </c>
      <c r="C15" s="257">
        <v>329</v>
      </c>
      <c r="D15" s="257" t="s">
        <v>165</v>
      </c>
      <c r="E15" s="257">
        <v>5</v>
      </c>
      <c r="F15" s="257" t="s">
        <v>166</v>
      </c>
      <c r="G15" s="258">
        <v>46297</v>
      </c>
      <c r="H15" s="257" t="s">
        <v>167</v>
      </c>
      <c r="I15" s="257">
        <v>179809</v>
      </c>
      <c r="J15" s="257">
        <v>28</v>
      </c>
      <c r="K15" s="259">
        <v>0.86440972222222223</v>
      </c>
      <c r="L15" s="257" t="s">
        <v>187</v>
      </c>
      <c r="M15" s="257">
        <v>1</v>
      </c>
      <c r="N15" s="257" t="s">
        <v>169</v>
      </c>
      <c r="O15" s="257" t="s">
        <v>67</v>
      </c>
      <c r="P15" s="257"/>
      <c r="Q15" s="257">
        <v>86</v>
      </c>
      <c r="R15" s="257" t="s">
        <v>189</v>
      </c>
      <c r="S15" s="257" t="s">
        <v>171</v>
      </c>
      <c r="T15" s="260">
        <v>8.5416666666666669E-2</v>
      </c>
      <c r="U15" s="257" t="s">
        <v>179</v>
      </c>
      <c r="V15" s="257">
        <v>35.1</v>
      </c>
      <c r="W15" s="259">
        <v>0.34027777777777779</v>
      </c>
      <c r="X15" s="257">
        <v>13</v>
      </c>
      <c r="Y15" s="257">
        <v>243.75</v>
      </c>
      <c r="Z15" s="257">
        <v>96.72</v>
      </c>
      <c r="AA15" s="257">
        <v>5953</v>
      </c>
      <c r="AB15" s="257">
        <v>79.16</v>
      </c>
      <c r="AC15" s="257">
        <v>98</v>
      </c>
      <c r="AD15" s="257">
        <v>94.78</v>
      </c>
      <c r="AE15" s="257"/>
      <c r="AF15" s="257"/>
      <c r="AG15" s="257"/>
      <c r="AH15" s="257"/>
      <c r="AI15" s="257"/>
      <c r="AJ15" s="257" t="s">
        <v>173</v>
      </c>
      <c r="AK15" s="262"/>
      <c r="AL15" s="257"/>
      <c r="AM15" s="257" t="s">
        <v>213</v>
      </c>
      <c r="AN15" s="257" t="s">
        <v>214</v>
      </c>
      <c r="AO15" s="257" t="s">
        <v>215</v>
      </c>
      <c r="AP15" s="262"/>
    </row>
    <row r="16" spans="1:42" s="3" customFormat="1">
      <c r="A16" s="7">
        <f t="shared" si="0"/>
        <v>15</v>
      </c>
      <c r="B16" s="7" t="str">
        <f>IF(Tabela1[[#This Row],[Placa]] = "VSP0001",FIDELIZAÇÃO!$C$34,IF(Tabela1[[#This Row],[Placa]] = "", "", Tabela1[[#This Row],[Placa]]))</f>
        <v>QJU2428</v>
      </c>
      <c r="C16" s="257">
        <v>329</v>
      </c>
      <c r="D16" s="257" t="s">
        <v>165</v>
      </c>
      <c r="E16" s="257">
        <v>5</v>
      </c>
      <c r="F16" s="257" t="s">
        <v>166</v>
      </c>
      <c r="G16" s="258">
        <v>46297</v>
      </c>
      <c r="H16" s="257" t="s">
        <v>167</v>
      </c>
      <c r="I16" s="257">
        <v>179810</v>
      </c>
      <c r="J16" s="257">
        <v>28</v>
      </c>
      <c r="K16" s="259">
        <v>0.86481481481481481</v>
      </c>
      <c r="L16" s="257" t="s">
        <v>187</v>
      </c>
      <c r="M16" s="257">
        <v>1</v>
      </c>
      <c r="N16" s="257" t="s">
        <v>188</v>
      </c>
      <c r="O16" s="257" t="s">
        <v>53</v>
      </c>
      <c r="P16" s="257"/>
      <c r="Q16" s="257">
        <v>2</v>
      </c>
      <c r="R16" s="257" t="s">
        <v>189</v>
      </c>
      <c r="S16" s="257" t="s">
        <v>171</v>
      </c>
      <c r="T16" s="260">
        <v>0.97916666666666663</v>
      </c>
      <c r="U16" s="257" t="s">
        <v>179</v>
      </c>
      <c r="V16" s="257">
        <v>100.54</v>
      </c>
      <c r="W16" s="259">
        <v>0.25138888888888888</v>
      </c>
      <c r="X16" s="257">
        <v>1</v>
      </c>
      <c r="Y16" s="257">
        <v>367.82</v>
      </c>
      <c r="Z16" s="257">
        <v>97.3</v>
      </c>
      <c r="AA16" s="257">
        <v>8856</v>
      </c>
      <c r="AB16" s="257">
        <v>70.62</v>
      </c>
      <c r="AC16" s="257">
        <v>72.400000000000006</v>
      </c>
      <c r="AD16" s="257">
        <v>70.44</v>
      </c>
      <c r="AE16" s="257"/>
      <c r="AF16" s="257"/>
      <c r="AG16" s="257"/>
      <c r="AH16" s="257"/>
      <c r="AI16" s="257"/>
      <c r="AJ16" s="257" t="s">
        <v>173</v>
      </c>
      <c r="AK16" s="262"/>
      <c r="AL16" s="257"/>
      <c r="AM16" s="257" t="s">
        <v>216</v>
      </c>
      <c r="AN16" s="257" t="s">
        <v>217</v>
      </c>
      <c r="AO16" s="257">
        <v>10813</v>
      </c>
      <c r="AP16" s="257"/>
    </row>
    <row r="17" spans="1:42" s="3" customFormat="1">
      <c r="A17" s="7">
        <f t="shared" si="0"/>
        <v>16</v>
      </c>
      <c r="B17" s="7" t="str">
        <f>IF(Tabela1[[#This Row],[Placa]] = "VSP0001",FIDELIZAÇÃO!$C$34,IF(Tabela1[[#This Row],[Placa]] = "", "", Tabela1[[#This Row],[Placa]]))</f>
        <v>FCA8H37</v>
      </c>
      <c r="C17" s="257">
        <v>329</v>
      </c>
      <c r="D17" s="257" t="s">
        <v>165</v>
      </c>
      <c r="E17" s="257">
        <v>5</v>
      </c>
      <c r="F17" s="257" t="s">
        <v>166</v>
      </c>
      <c r="G17" s="258">
        <v>46297</v>
      </c>
      <c r="H17" s="257" t="s">
        <v>167</v>
      </c>
      <c r="I17" s="257">
        <v>179811</v>
      </c>
      <c r="J17" s="257">
        <v>28</v>
      </c>
      <c r="K17" s="259">
        <v>0.86520833333333336</v>
      </c>
      <c r="L17" s="257" t="s">
        <v>187</v>
      </c>
      <c r="M17" s="257">
        <v>1</v>
      </c>
      <c r="N17" s="257" t="s">
        <v>188</v>
      </c>
      <c r="O17" s="257" t="s">
        <v>72</v>
      </c>
      <c r="P17" s="257"/>
      <c r="Q17" s="257">
        <v>90</v>
      </c>
      <c r="R17" s="257" t="s">
        <v>189</v>
      </c>
      <c r="S17" s="257" t="s">
        <v>171</v>
      </c>
      <c r="T17" s="260">
        <v>7.0833333333333331E-2</v>
      </c>
      <c r="U17" s="257" t="s">
        <v>179</v>
      </c>
      <c r="V17" s="257">
        <v>138.09</v>
      </c>
      <c r="W17" s="259">
        <v>0.41805555555555557</v>
      </c>
      <c r="X17" s="257">
        <v>14</v>
      </c>
      <c r="Y17" s="257">
        <v>244.93</v>
      </c>
      <c r="Z17" s="257">
        <v>79.52</v>
      </c>
      <c r="AA17" s="257">
        <v>6158</v>
      </c>
      <c r="AB17" s="257">
        <v>73.739999999999995</v>
      </c>
      <c r="AC17" s="257">
        <v>100</v>
      </c>
      <c r="AD17" s="257">
        <v>79.52</v>
      </c>
      <c r="AE17" s="257"/>
      <c r="AF17" s="257"/>
      <c r="AG17" s="257"/>
      <c r="AH17" s="257"/>
      <c r="AI17" s="257"/>
      <c r="AJ17" s="257" t="s">
        <v>173</v>
      </c>
      <c r="AK17" s="262"/>
      <c r="AL17" s="257"/>
      <c r="AM17" s="257" t="s">
        <v>218</v>
      </c>
      <c r="AN17" s="257" t="s">
        <v>219</v>
      </c>
      <c r="AO17" s="257" t="s">
        <v>220</v>
      </c>
      <c r="AP17" s="262"/>
    </row>
    <row r="18" spans="1:42" s="3" customFormat="1">
      <c r="A18" s="7">
        <f t="shared" si="0"/>
        <v>17</v>
      </c>
      <c r="B18" s="7" t="str">
        <f>IF(Tabela1[[#This Row],[Placa]] = "VSP0001",FIDELIZAÇÃO!$C$34,IF(Tabela1[[#This Row],[Placa]] = "", "", Tabela1[[#This Row],[Placa]]))</f>
        <v>RKW7G77</v>
      </c>
      <c r="C18" s="257">
        <v>329</v>
      </c>
      <c r="D18" s="257" t="s">
        <v>165</v>
      </c>
      <c r="E18" s="257">
        <v>5</v>
      </c>
      <c r="F18" s="257" t="s">
        <v>166</v>
      </c>
      <c r="G18" s="258">
        <v>46297</v>
      </c>
      <c r="H18" s="257" t="s">
        <v>167</v>
      </c>
      <c r="I18" s="257">
        <v>179812</v>
      </c>
      <c r="J18" s="257">
        <v>28</v>
      </c>
      <c r="K18" s="259">
        <v>0.86561342592592594</v>
      </c>
      <c r="L18" s="257" t="s">
        <v>187</v>
      </c>
      <c r="M18" s="257">
        <v>1</v>
      </c>
      <c r="N18" s="257" t="s">
        <v>184</v>
      </c>
      <c r="O18" s="257" t="s">
        <v>62</v>
      </c>
      <c r="P18" s="257"/>
      <c r="Q18" s="257">
        <v>208</v>
      </c>
      <c r="R18" s="257" t="s">
        <v>189</v>
      </c>
      <c r="S18" s="257" t="s">
        <v>171</v>
      </c>
      <c r="T18" s="260">
        <v>0.98472222222222228</v>
      </c>
      <c r="U18" s="257" t="s">
        <v>179</v>
      </c>
      <c r="V18" s="257">
        <v>41.62</v>
      </c>
      <c r="W18" s="259">
        <v>0.42916666666666664</v>
      </c>
      <c r="X18" s="257">
        <v>25</v>
      </c>
      <c r="Y18" s="257">
        <v>288.27</v>
      </c>
      <c r="Z18" s="257">
        <v>68.63</v>
      </c>
      <c r="AA18" s="257">
        <v>7443</v>
      </c>
      <c r="AB18" s="257">
        <v>58.84</v>
      </c>
      <c r="AC18" s="257">
        <v>100</v>
      </c>
      <c r="AD18" s="257">
        <v>68.63</v>
      </c>
      <c r="AE18" s="257"/>
      <c r="AF18" s="257"/>
      <c r="AG18" s="257"/>
      <c r="AH18" s="257"/>
      <c r="AI18" s="257"/>
      <c r="AJ18" s="257" t="s">
        <v>173</v>
      </c>
      <c r="AK18" s="262"/>
      <c r="AL18" s="257"/>
      <c r="AM18" s="257" t="s">
        <v>221</v>
      </c>
      <c r="AN18" s="257" t="s">
        <v>222</v>
      </c>
      <c r="AO18" s="257" t="s">
        <v>223</v>
      </c>
      <c r="AP18" s="262"/>
    </row>
    <row r="19" spans="1:42" s="3" customFormat="1">
      <c r="A19" s="7">
        <f t="shared" si="0"/>
        <v>18</v>
      </c>
      <c r="B19" s="7" t="str">
        <f>IF(Tabela1[[#This Row],[Placa]] = "VSP0001",FIDELIZAÇÃO!$C$34,IF(Tabela1[[#This Row],[Placa]] = "", "", Tabela1[[#This Row],[Placa]]))</f>
        <v>GHK2F66</v>
      </c>
      <c r="C19" s="257">
        <v>329</v>
      </c>
      <c r="D19" s="257" t="s">
        <v>165</v>
      </c>
      <c r="E19" s="257">
        <v>5</v>
      </c>
      <c r="F19" s="257" t="s">
        <v>166</v>
      </c>
      <c r="G19" s="258">
        <v>46297</v>
      </c>
      <c r="H19" s="257" t="s">
        <v>167</v>
      </c>
      <c r="I19" s="257">
        <v>179813</v>
      </c>
      <c r="J19" s="257">
        <v>28</v>
      </c>
      <c r="K19" s="259">
        <v>0.86600694444444448</v>
      </c>
      <c r="L19" s="257" t="s">
        <v>187</v>
      </c>
      <c r="M19" s="257">
        <v>1</v>
      </c>
      <c r="N19" s="257" t="s">
        <v>188</v>
      </c>
      <c r="O19" s="257" t="s">
        <v>64</v>
      </c>
      <c r="P19" s="257"/>
      <c r="Q19" s="257">
        <v>286</v>
      </c>
      <c r="R19" s="257" t="s">
        <v>189</v>
      </c>
      <c r="S19" s="257" t="s">
        <v>171</v>
      </c>
      <c r="T19" s="260">
        <v>9.8611111111111108E-2</v>
      </c>
      <c r="U19" s="257" t="s">
        <v>179</v>
      </c>
      <c r="V19" s="257">
        <v>52.1</v>
      </c>
      <c r="W19" s="259">
        <v>0.39930555555555558</v>
      </c>
      <c r="X19" s="257">
        <v>18</v>
      </c>
      <c r="Y19" s="257">
        <v>214.01</v>
      </c>
      <c r="Z19" s="257">
        <v>69.48</v>
      </c>
      <c r="AA19" s="257">
        <v>5121</v>
      </c>
      <c r="AB19" s="257">
        <v>64.260000000000005</v>
      </c>
      <c r="AC19" s="257">
        <v>100</v>
      </c>
      <c r="AD19" s="257">
        <v>69.48</v>
      </c>
      <c r="AE19" s="257"/>
      <c r="AF19" s="257"/>
      <c r="AG19" s="257"/>
      <c r="AH19" s="257"/>
      <c r="AI19" s="257"/>
      <c r="AJ19" s="257" t="s">
        <v>203</v>
      </c>
      <c r="AK19" s="257"/>
      <c r="AL19" s="257"/>
      <c r="AM19" s="257" t="s">
        <v>224</v>
      </c>
      <c r="AN19" s="257" t="s">
        <v>225</v>
      </c>
      <c r="AO19" s="257" t="s">
        <v>226</v>
      </c>
      <c r="AP19" s="262"/>
    </row>
    <row r="20" spans="1:42" s="3" customFormat="1">
      <c r="A20" s="7">
        <f t="shared" si="0"/>
        <v>19</v>
      </c>
      <c r="B20" s="7" t="str">
        <f>IF(Tabela1[[#This Row],[Placa]] = "VSP0001",FIDELIZAÇÃO!$C$34,IF(Tabela1[[#This Row],[Placa]] = "", "", Tabela1[[#This Row],[Placa]]))</f>
        <v>QJT3668</v>
      </c>
      <c r="C20" s="257">
        <v>329</v>
      </c>
      <c r="D20" s="257" t="s">
        <v>165</v>
      </c>
      <c r="E20" s="257">
        <v>5</v>
      </c>
      <c r="F20" s="257" t="s">
        <v>166</v>
      </c>
      <c r="G20" s="258">
        <v>46297</v>
      </c>
      <c r="H20" s="257" t="s">
        <v>167</v>
      </c>
      <c r="I20" s="257">
        <v>179814</v>
      </c>
      <c r="J20" s="257">
        <v>28</v>
      </c>
      <c r="K20" s="259">
        <v>0.86641203703703706</v>
      </c>
      <c r="L20" s="257" t="s">
        <v>187</v>
      </c>
      <c r="M20" s="257">
        <v>1</v>
      </c>
      <c r="N20" s="257" t="s">
        <v>188</v>
      </c>
      <c r="O20" s="257" t="s">
        <v>69</v>
      </c>
      <c r="P20" s="257"/>
      <c r="Q20" s="257">
        <v>294</v>
      </c>
      <c r="R20" s="257" t="s">
        <v>189</v>
      </c>
      <c r="S20" s="257" t="s">
        <v>171</v>
      </c>
      <c r="T20" s="260">
        <v>6.5277777777777782E-2</v>
      </c>
      <c r="U20" s="257" t="s">
        <v>179</v>
      </c>
      <c r="V20" s="257">
        <v>47.86</v>
      </c>
      <c r="W20" s="259">
        <v>0.39583333333333331</v>
      </c>
      <c r="X20" s="257">
        <v>12</v>
      </c>
      <c r="Y20" s="257">
        <v>305.97000000000003</v>
      </c>
      <c r="Z20" s="257">
        <v>80.94</v>
      </c>
      <c r="AA20" s="257">
        <v>7892</v>
      </c>
      <c r="AB20" s="257">
        <v>62.94</v>
      </c>
      <c r="AC20" s="257">
        <v>100</v>
      </c>
      <c r="AD20" s="257">
        <v>80.94</v>
      </c>
      <c r="AE20" s="257"/>
      <c r="AF20" s="257"/>
      <c r="AG20" s="257"/>
      <c r="AH20" s="257"/>
      <c r="AI20" s="257"/>
      <c r="AJ20" s="257" t="s">
        <v>173</v>
      </c>
      <c r="AK20" s="262"/>
      <c r="AL20" s="257"/>
      <c r="AM20" s="257" t="s">
        <v>227</v>
      </c>
      <c r="AN20" s="257" t="s">
        <v>228</v>
      </c>
      <c r="AO20" s="257" t="s">
        <v>229</v>
      </c>
      <c r="AP20" s="262"/>
    </row>
    <row r="21" spans="1:42" s="3" customFormat="1">
      <c r="A21" s="7">
        <f t="shared" si="0"/>
        <v>20</v>
      </c>
      <c r="B21" s="7" t="str">
        <f>IF(Tabela1[[#This Row],[Placa]] = "VSP0001",FIDELIZAÇÃO!$C$34,IF(Tabela1[[#This Row],[Placa]] = "", "", Tabela1[[#This Row],[Placa]]))</f>
        <v>UDI4C07</v>
      </c>
      <c r="C21" s="257">
        <v>329</v>
      </c>
      <c r="D21" s="257" t="s">
        <v>165</v>
      </c>
      <c r="E21" s="257">
        <v>5</v>
      </c>
      <c r="F21" s="257" t="s">
        <v>166</v>
      </c>
      <c r="G21" s="258">
        <v>46297</v>
      </c>
      <c r="H21" s="257" t="s">
        <v>167</v>
      </c>
      <c r="I21" s="257">
        <v>179815</v>
      </c>
      <c r="J21" s="257">
        <v>28</v>
      </c>
      <c r="K21" s="259">
        <v>0.86681712962962965</v>
      </c>
      <c r="L21" s="257" t="s">
        <v>187</v>
      </c>
      <c r="M21" s="257">
        <v>1</v>
      </c>
      <c r="N21" s="257" t="s">
        <v>184</v>
      </c>
      <c r="O21" s="257" t="s">
        <v>70</v>
      </c>
      <c r="P21" s="257"/>
      <c r="Q21" s="257">
        <v>34</v>
      </c>
      <c r="R21" s="257" t="s">
        <v>189</v>
      </c>
      <c r="S21" s="257" t="s">
        <v>171</v>
      </c>
      <c r="T21" s="260">
        <v>7.2916666666666671E-2</v>
      </c>
      <c r="U21" s="257" t="s">
        <v>179</v>
      </c>
      <c r="V21" s="257">
        <v>40.94</v>
      </c>
      <c r="W21" s="259">
        <v>0.43263888888888891</v>
      </c>
      <c r="X21" s="257">
        <v>16</v>
      </c>
      <c r="Y21" s="257">
        <v>309.75</v>
      </c>
      <c r="Z21" s="257">
        <v>73.75</v>
      </c>
      <c r="AA21" s="257">
        <v>7515</v>
      </c>
      <c r="AB21" s="257">
        <v>59.41</v>
      </c>
      <c r="AC21" s="257">
        <v>100</v>
      </c>
      <c r="AD21" s="257">
        <v>73.75</v>
      </c>
      <c r="AE21" s="257"/>
      <c r="AF21" s="257"/>
      <c r="AG21" s="257"/>
      <c r="AH21" s="257"/>
      <c r="AI21" s="257"/>
      <c r="AJ21" s="257" t="s">
        <v>173</v>
      </c>
      <c r="AK21" s="257" t="s">
        <v>174</v>
      </c>
      <c r="AL21" s="257"/>
      <c r="AM21" s="257" t="s">
        <v>230</v>
      </c>
      <c r="AN21" s="257" t="s">
        <v>231</v>
      </c>
      <c r="AO21" s="257" t="s">
        <v>232</v>
      </c>
      <c r="AP21" s="262"/>
    </row>
    <row r="22" spans="1:42" s="3" customFormat="1">
      <c r="A22" s="7">
        <f t="shared" si="0"/>
        <v>21</v>
      </c>
      <c r="B22" s="7" t="str">
        <f>IF(Tabela1[[#This Row],[Placa]] = "VSP0001",FIDELIZAÇÃO!$C$34,IF(Tabela1[[#This Row],[Placa]] = "", "", Tabela1[[#This Row],[Placa]]))</f>
        <v>GKF6739</v>
      </c>
      <c r="C22" s="257">
        <v>329</v>
      </c>
      <c r="D22" s="257" t="s">
        <v>165</v>
      </c>
      <c r="E22" s="257">
        <v>5</v>
      </c>
      <c r="F22" s="257" t="s">
        <v>166</v>
      </c>
      <c r="G22" s="258">
        <v>46297</v>
      </c>
      <c r="H22" s="257" t="s">
        <v>167</v>
      </c>
      <c r="I22" s="257">
        <v>179816</v>
      </c>
      <c r="J22" s="257">
        <v>28</v>
      </c>
      <c r="K22" s="259">
        <v>0.86723379629629627</v>
      </c>
      <c r="L22" s="257" t="s">
        <v>187</v>
      </c>
      <c r="M22" s="257">
        <v>1</v>
      </c>
      <c r="N22" s="257" t="s">
        <v>188</v>
      </c>
      <c r="O22" s="257" t="s">
        <v>78</v>
      </c>
      <c r="P22" s="257"/>
      <c r="Q22" s="257">
        <v>285</v>
      </c>
      <c r="R22" s="257" t="s">
        <v>189</v>
      </c>
      <c r="S22" s="257" t="s">
        <v>171</v>
      </c>
      <c r="T22" s="260">
        <v>0.99097222222222225</v>
      </c>
      <c r="U22" s="257" t="s">
        <v>179</v>
      </c>
      <c r="V22" s="257">
        <v>56.9</v>
      </c>
      <c r="W22" s="259">
        <v>0.43611111111111112</v>
      </c>
      <c r="X22" s="257">
        <v>18</v>
      </c>
      <c r="Y22" s="257">
        <v>275.61</v>
      </c>
      <c r="Z22" s="257">
        <v>89.48</v>
      </c>
      <c r="AA22" s="257">
        <v>6808</v>
      </c>
      <c r="AB22" s="257">
        <v>81.510000000000005</v>
      </c>
      <c r="AC22" s="257">
        <v>100</v>
      </c>
      <c r="AD22" s="257">
        <v>89.48</v>
      </c>
      <c r="AE22" s="257"/>
      <c r="AF22" s="257"/>
      <c r="AG22" s="257"/>
      <c r="AH22" s="257"/>
      <c r="AI22" s="257"/>
      <c r="AJ22" s="257" t="s">
        <v>173</v>
      </c>
      <c r="AK22" s="257" t="s">
        <v>174</v>
      </c>
      <c r="AL22" s="257"/>
      <c r="AM22" s="257" t="s">
        <v>224</v>
      </c>
      <c r="AN22" s="257" t="s">
        <v>233</v>
      </c>
      <c r="AO22" s="257" t="s">
        <v>234</v>
      </c>
      <c r="AP22" s="262"/>
    </row>
    <row r="23" spans="1:42" s="3" customFormat="1">
      <c r="A23" s="7">
        <f t="shared" si="0"/>
        <v>22</v>
      </c>
      <c r="B23" s="7" t="str">
        <f>IF(Tabela1[[#This Row],[Placa]] = "VSP0001",FIDELIZAÇÃO!$C$34,IF(Tabela1[[#This Row],[Placa]] = "", "", Tabela1[[#This Row],[Placa]]))</f>
        <v>QJU2F48</v>
      </c>
      <c r="C23" s="257">
        <v>329</v>
      </c>
      <c r="D23" s="257" t="s">
        <v>165</v>
      </c>
      <c r="E23" s="257">
        <v>5</v>
      </c>
      <c r="F23" s="257" t="s">
        <v>166</v>
      </c>
      <c r="G23" s="258">
        <v>46297</v>
      </c>
      <c r="H23" s="257" t="s">
        <v>167</v>
      </c>
      <c r="I23" s="257">
        <v>179817</v>
      </c>
      <c r="J23" s="257">
        <v>28</v>
      </c>
      <c r="K23" s="259">
        <v>0.86763888888888885</v>
      </c>
      <c r="L23" s="257" t="s">
        <v>187</v>
      </c>
      <c r="M23" s="257">
        <v>1</v>
      </c>
      <c r="N23" s="257" t="s">
        <v>188</v>
      </c>
      <c r="O23" s="257" t="s">
        <v>68</v>
      </c>
      <c r="P23" s="257"/>
      <c r="Q23" s="257">
        <v>107</v>
      </c>
      <c r="R23" s="257" t="s">
        <v>189</v>
      </c>
      <c r="S23" s="257" t="s">
        <v>171</v>
      </c>
      <c r="T23" s="260">
        <v>9.166666666666666E-2</v>
      </c>
      <c r="U23" s="257" t="s">
        <v>179</v>
      </c>
      <c r="V23" s="257">
        <v>56.04</v>
      </c>
      <c r="W23" s="259">
        <v>0.40763888888888888</v>
      </c>
      <c r="X23" s="257">
        <v>23</v>
      </c>
      <c r="Y23" s="257">
        <v>197.92</v>
      </c>
      <c r="Z23" s="257">
        <v>52.35</v>
      </c>
      <c r="AA23" s="257">
        <v>5102</v>
      </c>
      <c r="AB23" s="257">
        <v>40.68</v>
      </c>
      <c r="AC23" s="257">
        <v>100</v>
      </c>
      <c r="AD23" s="257">
        <v>52.35</v>
      </c>
      <c r="AE23" s="257"/>
      <c r="AF23" s="257"/>
      <c r="AG23" s="257"/>
      <c r="AH23" s="257"/>
      <c r="AI23" s="257"/>
      <c r="AJ23" s="257" t="s">
        <v>173</v>
      </c>
      <c r="AK23" s="262"/>
      <c r="AL23" s="257"/>
      <c r="AM23" s="257" t="s">
        <v>235</v>
      </c>
      <c r="AN23" s="257" t="s">
        <v>236</v>
      </c>
      <c r="AO23" s="257" t="s">
        <v>237</v>
      </c>
      <c r="AP23" s="262"/>
    </row>
    <row r="24" spans="1:42" s="3" customFormat="1">
      <c r="A24" s="7">
        <f t="shared" si="0"/>
        <v>23</v>
      </c>
      <c r="B24" s="7" t="str">
        <f>IF(Tabela1[[#This Row],[Placa]] = "VSP0001",FIDELIZAÇÃO!$C$34,IF(Tabela1[[#This Row],[Placa]] = "", "", Tabela1[[#This Row],[Placa]]))</f>
        <v>QJU2248</v>
      </c>
      <c r="C24" s="257">
        <v>329</v>
      </c>
      <c r="D24" s="257" t="s">
        <v>165</v>
      </c>
      <c r="E24" s="257">
        <v>5</v>
      </c>
      <c r="F24" s="257" t="s">
        <v>166</v>
      </c>
      <c r="G24" s="258">
        <v>46297</v>
      </c>
      <c r="H24" s="257" t="s">
        <v>167</v>
      </c>
      <c r="I24" s="257">
        <v>179819</v>
      </c>
      <c r="J24" s="257">
        <v>28</v>
      </c>
      <c r="K24" s="259">
        <v>0.86805555555555558</v>
      </c>
      <c r="L24" s="257" t="s">
        <v>187</v>
      </c>
      <c r="M24" s="257">
        <v>1</v>
      </c>
      <c r="N24" s="257" t="s">
        <v>188</v>
      </c>
      <c r="O24" s="257" t="s">
        <v>83</v>
      </c>
      <c r="P24" s="257"/>
      <c r="Q24" s="257">
        <v>304</v>
      </c>
      <c r="R24" s="257" t="s">
        <v>189</v>
      </c>
      <c r="S24" s="257" t="s">
        <v>171</v>
      </c>
      <c r="T24" s="260">
        <v>0.1388888888888889</v>
      </c>
      <c r="U24" s="257" t="s">
        <v>179</v>
      </c>
      <c r="V24" s="257">
        <v>59.59</v>
      </c>
      <c r="W24" s="259">
        <v>0.42499999999999999</v>
      </c>
      <c r="X24" s="257">
        <v>21</v>
      </c>
      <c r="Y24" s="257">
        <v>194.91</v>
      </c>
      <c r="Z24" s="257">
        <v>51.56</v>
      </c>
      <c r="AA24" s="257">
        <v>5189</v>
      </c>
      <c r="AB24" s="257">
        <v>41.38</v>
      </c>
      <c r="AC24" s="257">
        <v>100</v>
      </c>
      <c r="AD24" s="257">
        <v>51.56</v>
      </c>
      <c r="AE24" s="257"/>
      <c r="AF24" s="257"/>
      <c r="AG24" s="257"/>
      <c r="AH24" s="257"/>
      <c r="AI24" s="257"/>
      <c r="AJ24" s="257" t="s">
        <v>173</v>
      </c>
      <c r="AK24" s="262"/>
      <c r="AL24" s="257"/>
      <c r="AM24" s="257" t="s">
        <v>200</v>
      </c>
      <c r="AN24" s="257" t="s">
        <v>238</v>
      </c>
      <c r="AO24" s="257" t="s">
        <v>239</v>
      </c>
      <c r="AP24" s="262"/>
    </row>
    <row r="25" spans="1:42" s="3" customFormat="1">
      <c r="A25" s="7">
        <f t="shared" si="0"/>
        <v>24</v>
      </c>
      <c r="B25" s="7" t="str">
        <f>IF(Tabela1[[#This Row],[Placa]] = "VSP0001",FIDELIZAÇÃO!$C$34,IF(Tabela1[[#This Row],[Placa]] = "", "", Tabela1[[#This Row],[Placa]]))</f>
        <v/>
      </c>
      <c r="C25"/>
      <c r="D25"/>
      <c r="E25"/>
      <c r="F25"/>
      <c r="G25" s="6"/>
      <c r="H25"/>
      <c r="I25"/>
      <c r="J25"/>
      <c r="K25" s="158"/>
      <c r="L25"/>
      <c r="M25"/>
      <c r="N25"/>
      <c r="O25"/>
      <c r="P25"/>
      <c r="Q25"/>
      <c r="R25"/>
      <c r="S25"/>
      <c r="T25" s="16"/>
      <c r="U25"/>
      <c r="V25"/>
      <c r="W25" s="158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</row>
    <row r="26" spans="1:42" s="3" customFormat="1">
      <c r="A26" s="7">
        <f t="shared" si="0"/>
        <v>25</v>
      </c>
      <c r="B26" s="7" t="str">
        <f>IF(Tabela1[[#This Row],[Placa]] = "VSP0001",FIDELIZAÇÃO!$C$34,IF(Tabela1[[#This Row],[Placa]] = "", "", Tabela1[[#This Row],[Placa]]))</f>
        <v/>
      </c>
      <c r="C26"/>
      <c r="D26"/>
      <c r="E26"/>
      <c r="F26"/>
      <c r="G26" s="6"/>
      <c r="H26"/>
      <c r="I26"/>
      <c r="J26"/>
      <c r="K26" s="158"/>
      <c r="L26"/>
      <c r="M26"/>
      <c r="N26"/>
      <c r="O26"/>
      <c r="P26"/>
      <c r="Q26"/>
      <c r="R26"/>
      <c r="S26"/>
      <c r="T26" s="16"/>
      <c r="U26"/>
      <c r="V26"/>
      <c r="W26" s="158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</row>
    <row r="27" spans="1:42" s="3" customFormat="1">
      <c r="A27" s="7">
        <f t="shared" si="0"/>
        <v>26</v>
      </c>
      <c r="B27" s="7" t="str">
        <f>IF(Tabela1[[#This Row],[Placa]] = "VSP0001",FIDELIZAÇÃO!$C$34,IF(Tabela1[[#This Row],[Placa]] = "", "", Tabela1[[#This Row],[Placa]]))</f>
        <v/>
      </c>
      <c r="C27"/>
      <c r="D27"/>
      <c r="E27"/>
      <c r="F27"/>
      <c r="G27" s="6"/>
      <c r="H27"/>
      <c r="I27"/>
      <c r="J27"/>
      <c r="K27" s="158"/>
      <c r="L27"/>
      <c r="M27"/>
      <c r="N27"/>
      <c r="O27"/>
      <c r="P27"/>
      <c r="Q27"/>
      <c r="R27"/>
      <c r="S27"/>
      <c r="T27" s="16"/>
      <c r="U27"/>
      <c r="V27"/>
      <c r="W27" s="158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</row>
    <row r="28" spans="1:42" s="3" customFormat="1">
      <c r="A28" s="7">
        <f t="shared" si="0"/>
        <v>27</v>
      </c>
      <c r="B28" s="7" t="str">
        <f>IF(Tabela1[[#This Row],[Placa]] = "VSP0001",FIDELIZAÇÃO!$C$34,IF(Tabela1[[#This Row],[Placa]] = "", "", Tabela1[[#This Row],[Placa]]))</f>
        <v/>
      </c>
      <c r="C28"/>
      <c r="D28"/>
      <c r="E28"/>
      <c r="F28"/>
      <c r="G28" s="6"/>
      <c r="H28"/>
      <c r="I28"/>
      <c r="J28"/>
      <c r="K28" s="158"/>
      <c r="L28"/>
      <c r="M28"/>
      <c r="N28"/>
      <c r="O28"/>
      <c r="P28"/>
      <c r="Q28"/>
      <c r="R28"/>
      <c r="S28"/>
      <c r="T28" s="16"/>
      <c r="U28"/>
      <c r="V28"/>
      <c r="W28" s="15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</row>
    <row r="29" spans="1:42" s="3" customFormat="1">
      <c r="A29" s="7">
        <f t="shared" si="0"/>
        <v>28</v>
      </c>
      <c r="B29" s="7" t="str">
        <f>IF(Tabela1[[#This Row],[Placa]] = "VSP0001",FIDELIZAÇÃO!$C$34,IF(Tabela1[[#This Row],[Placa]] = "", "", Tabela1[[#This Row],[Placa]]))</f>
        <v/>
      </c>
      <c r="C29"/>
      <c r="D29"/>
      <c r="E29"/>
      <c r="F29"/>
      <c r="G29" s="6"/>
      <c r="H29"/>
      <c r="I29"/>
      <c r="J29"/>
      <c r="K29" s="158"/>
      <c r="L29"/>
      <c r="M29"/>
      <c r="N29"/>
      <c r="O29"/>
      <c r="P29"/>
      <c r="Q29"/>
      <c r="R29"/>
      <c r="S29"/>
      <c r="T29" s="16"/>
      <c r="U29"/>
      <c r="V29"/>
      <c r="W29" s="158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</row>
    <row r="30" spans="1:42" s="3" customFormat="1">
      <c r="A30" s="7">
        <f t="shared" si="0"/>
        <v>29</v>
      </c>
      <c r="B30" s="7" t="str">
        <f>IF(Tabela1[[#This Row],[Placa]] = "VSP0001",FIDELIZAÇÃO!$C$34,IF(Tabela1[[#This Row],[Placa]] = "", "", Tabela1[[#This Row],[Placa]]))</f>
        <v/>
      </c>
      <c r="C30"/>
      <c r="D30"/>
      <c r="E30"/>
      <c r="F30"/>
      <c r="G30" s="6"/>
      <c r="H30"/>
      <c r="I30"/>
      <c r="J30"/>
      <c r="K30" s="158"/>
      <c r="L30"/>
      <c r="M30"/>
      <c r="N30"/>
      <c r="O30"/>
      <c r="P30"/>
      <c r="Q30"/>
      <c r="R30"/>
      <c r="S30"/>
      <c r="T30" s="16"/>
      <c r="U30"/>
      <c r="V30"/>
      <c r="W30" s="158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</row>
    <row r="31" spans="1:42" s="3" customFormat="1">
      <c r="A31" s="7">
        <f t="shared" si="0"/>
        <v>30</v>
      </c>
      <c r="B31" s="7" t="str">
        <f>IF(Tabela1[[#This Row],[Placa]] = "VSP0001",FIDELIZAÇÃO!$C$34,IF(Tabela1[[#This Row],[Placa]] = "", "", Tabela1[[#This Row],[Placa]]))</f>
        <v/>
      </c>
      <c r="C31"/>
      <c r="D31"/>
      <c r="E31"/>
      <c r="F31"/>
      <c r="G31" s="6"/>
      <c r="H31"/>
      <c r="I31"/>
      <c r="J31"/>
      <c r="K31" s="158"/>
      <c r="L31"/>
      <c r="M31"/>
      <c r="N31"/>
      <c r="O31"/>
      <c r="P31"/>
      <c r="Q31"/>
      <c r="R31"/>
      <c r="S31"/>
      <c r="T31" s="16"/>
      <c r="U31"/>
      <c r="V31"/>
      <c r="W31" s="158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</row>
    <row r="32" spans="1:42" s="3" customFormat="1">
      <c r="A32" s="7">
        <f t="shared" si="0"/>
        <v>31</v>
      </c>
      <c r="B32" s="7" t="str">
        <f>IF(Tabela1[[#This Row],[Placa]] = "VSP0001",FIDELIZAÇÃO!$C$34,IF(Tabela1[[#This Row],[Placa]] = "", "", Tabela1[[#This Row],[Placa]]))</f>
        <v/>
      </c>
      <c r="C32"/>
      <c r="D32"/>
      <c r="E32"/>
      <c r="F32"/>
      <c r="G32" s="6"/>
      <c r="H32"/>
      <c r="I32"/>
      <c r="J32"/>
      <c r="K32" s="158"/>
      <c r="L32"/>
      <c r="M32"/>
      <c r="N32"/>
      <c r="O32"/>
      <c r="P32"/>
      <c r="Q32"/>
      <c r="R32"/>
      <c r="S32"/>
      <c r="T32" s="16"/>
      <c r="U32"/>
      <c r="V32"/>
      <c r="W32" s="158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</row>
    <row r="33" spans="1:42" s="3" customFormat="1">
      <c r="A33" s="7">
        <f t="shared" si="0"/>
        <v>32</v>
      </c>
      <c r="B33" s="7" t="str">
        <f>IF(Tabela1[[#This Row],[Placa]] = "VSP0001",FIDELIZAÇÃO!$C$34,IF(Tabela1[[#This Row],[Placa]] = "", "", Tabela1[[#This Row],[Placa]]))</f>
        <v/>
      </c>
      <c r="C33"/>
      <c r="D33"/>
      <c r="E33"/>
      <c r="F33"/>
      <c r="G33" s="6"/>
      <c r="H33"/>
      <c r="I33"/>
      <c r="J33"/>
      <c r="K33" s="158"/>
      <c r="L33"/>
      <c r="M33"/>
      <c r="N33"/>
      <c r="O33"/>
      <c r="P33"/>
      <c r="Q33"/>
      <c r="R33"/>
      <c r="S33"/>
      <c r="T33" s="16"/>
      <c r="U33"/>
      <c r="V33"/>
      <c r="W33" s="158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</row>
    <row r="34" spans="1:42" s="3" customFormat="1">
      <c r="A34" s="7">
        <f t="shared" si="0"/>
        <v>33</v>
      </c>
      <c r="B34" s="7" t="str">
        <f>IF(Tabela1[[#This Row],[Placa]] = "VSP0001",FIDELIZAÇÃO!$C$34,IF(Tabela1[[#This Row],[Placa]] = "", "", Tabela1[[#This Row],[Placa]]))</f>
        <v/>
      </c>
      <c r="C34"/>
      <c r="D34"/>
      <c r="E34"/>
      <c r="F34"/>
      <c r="G34" s="6"/>
      <c r="H34"/>
      <c r="I34"/>
      <c r="J34"/>
      <c r="K34" s="158"/>
      <c r="L34"/>
      <c r="M34"/>
      <c r="N34"/>
      <c r="O34"/>
      <c r="P34"/>
      <c r="Q34"/>
      <c r="R34"/>
      <c r="S34"/>
      <c r="T34" s="16"/>
      <c r="U34"/>
      <c r="V34"/>
      <c r="W34" s="158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</row>
    <row r="35" spans="1:42" s="3" customFormat="1">
      <c r="A35" s="7">
        <f t="shared" si="0"/>
        <v>34</v>
      </c>
      <c r="B35" s="7" t="str">
        <f>IF(Tabela1[[#This Row],[Placa]] = "VSP0001",FIDELIZAÇÃO!$C$34,IF(Tabela1[[#This Row],[Placa]] = "", "", Tabela1[[#This Row],[Placa]]))</f>
        <v/>
      </c>
      <c r="C35"/>
      <c r="D35"/>
      <c r="E35"/>
      <c r="F35"/>
      <c r="G35" s="6"/>
      <c r="H35"/>
      <c r="I35"/>
      <c r="J35"/>
      <c r="K35" s="158"/>
      <c r="L35"/>
      <c r="M35"/>
      <c r="N35"/>
      <c r="O35"/>
      <c r="P35"/>
      <c r="Q35"/>
      <c r="R35"/>
      <c r="S35"/>
      <c r="T35" s="16"/>
      <c r="U35"/>
      <c r="V35"/>
      <c r="W35" s="158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</row>
    <row r="36" spans="1:42" s="3" customFormat="1">
      <c r="A36" s="7">
        <f t="shared" si="0"/>
        <v>35</v>
      </c>
      <c r="B36" s="7" t="str">
        <f>IF(Tabela1[[#This Row],[Placa]] = "VSP0001",FIDELIZAÇÃO!$C$34,IF(Tabela1[[#This Row],[Placa]] = "", "", Tabela1[[#This Row],[Placa]]))</f>
        <v/>
      </c>
      <c r="C36"/>
      <c r="D36"/>
      <c r="E36"/>
      <c r="F36"/>
      <c r="G36" s="6"/>
      <c r="H36"/>
      <c r="I36"/>
      <c r="J36"/>
      <c r="K36" s="158"/>
      <c r="L36"/>
      <c r="M36"/>
      <c r="N36"/>
      <c r="O36"/>
      <c r="P36"/>
      <c r="Q36"/>
      <c r="R36"/>
      <c r="S36"/>
      <c r="T36" s="16"/>
      <c r="U36"/>
      <c r="V36"/>
      <c r="W36" s="158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</row>
    <row r="37" spans="1:42" s="3" customFormat="1">
      <c r="A37" s="7">
        <f t="shared" si="0"/>
        <v>36</v>
      </c>
      <c r="B37" s="7" t="str">
        <f>IF(Tabela1[[#This Row],[Placa]] = "VSP0001",FIDELIZAÇÃO!$C$34,IF(Tabela1[[#This Row],[Placa]] = "", "", Tabela1[[#This Row],[Placa]]))</f>
        <v/>
      </c>
      <c r="C37"/>
      <c r="D37"/>
      <c r="E37"/>
      <c r="F37"/>
      <c r="G37" s="6"/>
      <c r="H37"/>
      <c r="I37"/>
      <c r="J37"/>
      <c r="K37" s="158"/>
      <c r="L37"/>
      <c r="M37"/>
      <c r="N37"/>
      <c r="O37"/>
      <c r="P37"/>
      <c r="Q37"/>
      <c r="R37"/>
      <c r="S37"/>
      <c r="T37" s="16"/>
      <c r="U37"/>
      <c r="V37"/>
      <c r="W37" s="158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</row>
    <row r="38" spans="1:42" s="3" customFormat="1">
      <c r="A38" s="7">
        <f t="shared" si="0"/>
        <v>37</v>
      </c>
      <c r="B38" s="7" t="str">
        <f>IF(Tabela1[[#This Row],[Placa]] = "VSP0001",FIDELIZAÇÃO!$C$34,IF(Tabela1[[#This Row],[Placa]] = "", "", Tabela1[[#This Row],[Placa]]))</f>
        <v/>
      </c>
      <c r="C38"/>
      <c r="D38"/>
      <c r="E38"/>
      <c r="F38"/>
      <c r="G38" s="6"/>
      <c r="H38"/>
      <c r="I38"/>
      <c r="J38"/>
      <c r="K38" s="158"/>
      <c r="L38"/>
      <c r="M38"/>
      <c r="N38"/>
      <c r="O38"/>
      <c r="P38"/>
      <c r="Q38"/>
      <c r="R38"/>
      <c r="S38"/>
      <c r="T38" s="16"/>
      <c r="U38"/>
      <c r="V38"/>
      <c r="W38" s="15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</row>
    <row r="39" spans="1:42" s="3" customFormat="1">
      <c r="A39" s="7">
        <f t="shared" si="0"/>
        <v>38</v>
      </c>
      <c r="B39" s="7" t="str">
        <f>IF(Tabela1[[#This Row],[Placa]] = "VSP0001",FIDELIZAÇÃO!$C$34,IF(Tabela1[[#This Row],[Placa]] = "", "", Tabela1[[#This Row],[Placa]]))</f>
        <v/>
      </c>
      <c r="C39"/>
      <c r="D39"/>
      <c r="E39"/>
      <c r="F39"/>
      <c r="G39" s="6"/>
      <c r="H39"/>
      <c r="I39"/>
      <c r="J39"/>
      <c r="K39" s="158"/>
      <c r="L39"/>
      <c r="M39"/>
      <c r="N39"/>
      <c r="O39"/>
      <c r="P39"/>
      <c r="Q39"/>
      <c r="R39"/>
      <c r="S39"/>
      <c r="T39" s="16"/>
      <c r="U39"/>
      <c r="V39"/>
      <c r="W39" s="158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</row>
    <row r="40" spans="1:42" s="3" customFormat="1">
      <c r="A40" s="7">
        <f t="shared" si="0"/>
        <v>39</v>
      </c>
      <c r="B40" s="7" t="str">
        <f>IF(Tabela1[[#This Row],[Placa]] = "VSP0001",FIDELIZAÇÃO!$C$34,IF(Tabela1[[#This Row],[Placa]] = "", "", Tabela1[[#This Row],[Placa]]))</f>
        <v/>
      </c>
      <c r="C40"/>
      <c r="D40"/>
      <c r="E40"/>
      <c r="F40"/>
      <c r="G40" s="6"/>
      <c r="H40"/>
      <c r="I40"/>
      <c r="J40"/>
      <c r="K40" s="158"/>
      <c r="L40"/>
      <c r="M40"/>
      <c r="N40"/>
      <c r="O40"/>
      <c r="P40"/>
      <c r="Q40"/>
      <c r="R40"/>
      <c r="S40"/>
      <c r="T40" s="16"/>
      <c r="U40"/>
      <c r="V40"/>
      <c r="W40" s="233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</row>
    <row r="41" spans="1:42" s="3" customFormat="1">
      <c r="A41" s="7">
        <f t="shared" si="0"/>
        <v>40</v>
      </c>
      <c r="B41" s="7" t="str">
        <f>IF(Tabela1[[#This Row],[Placa]] = "VSP0001",FIDELIZAÇÃO!$C$34,IF(Tabela1[[#This Row],[Placa]] = "", "", Tabela1[[#This Row],[Placa]]))</f>
        <v/>
      </c>
      <c r="C41"/>
      <c r="D41"/>
      <c r="E41"/>
      <c r="F41"/>
      <c r="G41" s="6"/>
      <c r="H41"/>
      <c r="I41"/>
      <c r="J41"/>
      <c r="K41" s="158"/>
      <c r="L41"/>
      <c r="M41"/>
      <c r="N41"/>
      <c r="O41"/>
      <c r="P41"/>
      <c r="Q41"/>
      <c r="R41"/>
      <c r="S41"/>
      <c r="T41" s="16"/>
      <c r="U41"/>
      <c r="V41"/>
      <c r="W41" s="158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</row>
    <row r="42" spans="1:42" s="3" customFormat="1">
      <c r="A42" s="7">
        <f t="shared" si="0"/>
        <v>41</v>
      </c>
      <c r="B42" s="7" t="str">
        <f>IF(Tabela1[[#This Row],[Placa]] = "VSP0001",FIDELIZAÇÃO!$C$34,IF(Tabela1[[#This Row],[Placa]] = "", "", Tabela1[[#This Row],[Placa]]))</f>
        <v/>
      </c>
      <c r="C42"/>
      <c r="D42"/>
      <c r="E42"/>
      <c r="F42"/>
      <c r="G42" s="6"/>
      <c r="H42"/>
      <c r="I42"/>
      <c r="J42"/>
      <c r="K42" s="158"/>
      <c r="L42"/>
      <c r="M42"/>
      <c r="N42"/>
      <c r="O42"/>
      <c r="P42"/>
      <c r="Q42"/>
      <c r="R42"/>
      <c r="S42"/>
      <c r="T42" s="16"/>
      <c r="U42"/>
      <c r="V42"/>
      <c r="W42" s="158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</row>
    <row r="43" spans="1:42" s="3" customFormat="1">
      <c r="A43" s="7">
        <f t="shared" si="0"/>
        <v>42</v>
      </c>
      <c r="B43" s="7" t="str">
        <f>IF(Tabela1[[#This Row],[Placa]] = "VSP0001",FIDELIZAÇÃO!$C$34,IF(Tabela1[[#This Row],[Placa]] = "", "", Tabela1[[#This Row],[Placa]]))</f>
        <v/>
      </c>
      <c r="C43"/>
      <c r="D43"/>
      <c r="E43"/>
      <c r="F43"/>
      <c r="G43" s="6"/>
      <c r="H43"/>
      <c r="I43"/>
      <c r="J43"/>
      <c r="K43" s="5"/>
      <c r="L43"/>
      <c r="M43"/>
      <c r="N43"/>
      <c r="O43"/>
      <c r="P43"/>
      <c r="Q43"/>
      <c r="R43"/>
      <c r="S43"/>
      <c r="T43" s="5"/>
      <c r="U43"/>
      <c r="V43"/>
      <c r="W43" s="4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</row>
    <row r="44" spans="1:42" s="3" customFormat="1">
      <c r="A44" s="7">
        <f t="shared" si="0"/>
        <v>43</v>
      </c>
      <c r="B44" s="7" t="str">
        <f>IF(Tabela1[[#This Row],[Placa]] = "VSP0001",FIDELIZAÇÃO!$C$34,IF(Tabela1[[#This Row],[Placa]] = "", "", Tabela1[[#This Row],[Placa]]))</f>
        <v/>
      </c>
      <c r="C44"/>
      <c r="D44"/>
      <c r="E44"/>
      <c r="F44"/>
      <c r="G44" s="6"/>
      <c r="H44"/>
      <c r="I44"/>
      <c r="J44"/>
      <c r="K44" s="5"/>
      <c r="L44"/>
      <c r="M44"/>
      <c r="N44"/>
      <c r="O44"/>
      <c r="P44"/>
      <c r="Q44"/>
      <c r="R44"/>
      <c r="S44"/>
      <c r="T44" s="5"/>
      <c r="U44"/>
      <c r="V44"/>
      <c r="W44" s="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</row>
    <row r="45" spans="1:42">
      <c r="A45" s="7">
        <f t="shared" si="0"/>
        <v>44</v>
      </c>
      <c r="B45" s="7" t="str">
        <f>IF(Tabela1[[#This Row],[Placa]] = "VSP0001",FIDELIZAÇÃO!$C$34,IF(Tabela1[[#This Row],[Placa]] = "", "", Tabela1[[#This Row],[Placa]]))</f>
        <v/>
      </c>
    </row>
    <row r="46" spans="1:42">
      <c r="A46" s="7">
        <f t="shared" si="0"/>
        <v>45</v>
      </c>
      <c r="B46" s="7" t="str">
        <f>IF(Tabela1[[#This Row],[Placa]] = "VSP0001",FIDELIZAÇÃO!$C$34,IF(Tabela1[[#This Row],[Placa]] = "", "", Tabela1[[#This Row],[Placa]]))</f>
        <v/>
      </c>
    </row>
    <row r="47" spans="1:42">
      <c r="A47" s="7">
        <f t="shared" si="0"/>
        <v>46</v>
      </c>
      <c r="B47" s="7" t="str">
        <f>IF(Tabela1[[#This Row],[Placa]] = "VSP0001",FIDELIZAÇÃO!$C$34,IF(Tabela1[[#This Row],[Placa]] = "", "", Tabela1[[#This Row],[Placa]]))</f>
        <v/>
      </c>
    </row>
    <row r="48" spans="1:42">
      <c r="A48" s="7">
        <f t="shared" si="0"/>
        <v>47</v>
      </c>
      <c r="B48" s="7" t="str">
        <f>IF(Tabela1[[#This Row],[Placa]] = "VSP0001",FIDELIZAÇÃO!$C$34,IF(Tabela1[[#This Row],[Placa]] = "", "", Tabela1[[#This Row],[Placa]]))</f>
        <v/>
      </c>
    </row>
    <row r="49" spans="1:2">
      <c r="A49" s="7">
        <f t="shared" si="0"/>
        <v>48</v>
      </c>
      <c r="B49" s="7" t="str">
        <f>IF(Tabela1[[#This Row],[Placa]] = "VSP0001",FIDELIZAÇÃO!$C$34,IF(Tabela1[[#This Row],[Placa]] = "", "", Tabela1[[#This Row],[Placa]]))</f>
        <v/>
      </c>
    </row>
    <row r="50" spans="1:2">
      <c r="A50" s="7">
        <f t="shared" si="0"/>
        <v>49</v>
      </c>
      <c r="B50" s="7" t="str">
        <f>IF(Tabela1[[#This Row],[Placa]] = "VSP0001",FIDELIZAÇÃO!$C$34,IF(Tabela1[[#This Row],[Placa]] = "", "", Tabela1[[#This Row],[Placa]]))</f>
        <v/>
      </c>
    </row>
    <row r="51" spans="1:2">
      <c r="A51" s="7">
        <f t="shared" si="0"/>
        <v>50</v>
      </c>
      <c r="B51" s="7" t="str">
        <f>IF(Tabela1[[#This Row],[Placa]] = "VSP0001",FIDELIZAÇÃO!$C$34,IF(Tabela1[[#This Row],[Placa]] = "", "", Tabela1[[#This Row],[Placa]]))</f>
        <v/>
      </c>
    </row>
    <row r="52" spans="1:2">
      <c r="A52" s="7">
        <f t="shared" si="0"/>
        <v>51</v>
      </c>
      <c r="B52" s="7" t="str">
        <f>IF(Tabela1[[#This Row],[Placa]] = "VSP0001",FIDELIZAÇÃO!$C$34,IF(Tabela1[[#This Row],[Placa]] = "", "", Tabela1[[#This Row],[Placa]]))</f>
        <v/>
      </c>
    </row>
    <row r="53" spans="1:2">
      <c r="A53" s="7">
        <f t="shared" si="0"/>
        <v>52</v>
      </c>
      <c r="B53" s="7" t="str">
        <f>IF(Tabela1[[#This Row],[Placa]] = "VSP0001",FIDELIZAÇÃO!$C$34,IF(Tabela1[[#This Row],[Placa]] = "", "", Tabela1[[#This Row],[Placa]]))</f>
        <v/>
      </c>
    </row>
    <row r="54" spans="1:2">
      <c r="A54" s="7">
        <f t="shared" si="0"/>
        <v>53</v>
      </c>
      <c r="B54" s="7" t="str">
        <f>IF(Tabela1[[#This Row],[Placa]] = "VSP0001",FIDELIZAÇÃO!$C$34,IF(Tabela1[[#This Row],[Placa]] = "", "", Tabela1[[#This Row],[Placa]]))</f>
        <v/>
      </c>
    </row>
    <row r="55" spans="1:2">
      <c r="A55" s="7">
        <f t="shared" si="0"/>
        <v>54</v>
      </c>
      <c r="B55" s="7" t="str">
        <f>IF(Tabela1[[#This Row],[Placa]] = "VSP0001",FIDELIZAÇÃO!$C$34,IF(Tabela1[[#This Row],[Placa]] = "", "", Tabela1[[#This Row],[Placa]]))</f>
        <v/>
      </c>
    </row>
    <row r="56" spans="1:2">
      <c r="A56" s="7">
        <f t="shared" si="0"/>
        <v>55</v>
      </c>
      <c r="B56" s="7" t="str">
        <f>IF(Tabela1[[#This Row],[Placa]] = "VSP0001",FIDELIZAÇÃO!$C$34,IF(Tabela1[[#This Row],[Placa]] = "", "", Tabela1[[#This Row],[Placa]]))</f>
        <v/>
      </c>
    </row>
    <row r="57" spans="1:2">
      <c r="A57" s="7">
        <f t="shared" si="0"/>
        <v>56</v>
      </c>
      <c r="B57" s="7" t="str">
        <f>IF(Tabela1[[#This Row],[Placa]] = "VSP0001",FIDELIZAÇÃO!$C$34,IF(Tabela1[[#This Row],[Placa]] = "", "", Tabela1[[#This Row],[Placa]]))</f>
        <v/>
      </c>
    </row>
    <row r="58" spans="1:2">
      <c r="A58" s="7">
        <f t="shared" si="0"/>
        <v>57</v>
      </c>
      <c r="B58" s="7" t="str">
        <f>IF(Tabela1[[#This Row],[Placa]] = "VSP0001",FIDELIZAÇÃO!$C$34,IF(Tabela1[[#This Row],[Placa]] = "", "", Tabela1[[#This Row],[Placa]]))</f>
        <v/>
      </c>
    </row>
    <row r="59" spans="1:2"/>
    <row r="60" spans="1:2"/>
    <row r="61" spans="1:2"/>
    <row r="62" spans="1:2"/>
    <row r="63" spans="1:2"/>
    <row r="64" spans="1:2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</sheetData>
  <phoneticPr fontId="8" type="noConversion"/>
  <pageMargins left="0.511811024" right="0.511811024" top="0.78740157499999996" bottom="0.78740157499999996" header="0.31496062000000002" footer="0.31496062000000002"/>
  <ignoredErrors>
    <ignoredError sqref="B2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F1EA6-E161-40AE-983B-A7A4B96AE33B}">
  <sheetPr>
    <pageSetUpPr fitToPage="1"/>
  </sheetPr>
  <dimension ref="A1:AM161"/>
  <sheetViews>
    <sheetView zoomScale="55" zoomScaleNormal="55" workbookViewId="0">
      <selection activeCell="F2" sqref="F2:G2"/>
    </sheetView>
  </sheetViews>
  <sheetFormatPr defaultRowHeight="15"/>
  <cols>
    <col min="1" max="1" width="12.85546875" style="18" bestFit="1" customWidth="1"/>
    <col min="2" max="2" width="12" bestFit="1" customWidth="1"/>
    <col min="3" max="3" width="9.28515625" bestFit="1" customWidth="1"/>
    <col min="4" max="4" width="10" style="5" bestFit="1" customWidth="1"/>
    <col min="5" max="5" width="12.85546875" style="5" bestFit="1" customWidth="1"/>
    <col min="6" max="6" width="10.140625" style="5" bestFit="1" customWidth="1"/>
    <col min="7" max="7" width="15.85546875" style="5" bestFit="1" customWidth="1"/>
    <col min="8" max="8" width="12" customWidth="1"/>
    <col min="9" max="9" width="12" bestFit="1" customWidth="1"/>
    <col min="10" max="10" width="10" style="20" bestFit="1" customWidth="1"/>
    <col min="11" max="11" width="10" bestFit="1" customWidth="1"/>
    <col min="12" max="12" width="24.7109375" customWidth="1"/>
    <col min="13" max="13" width="10.7109375" customWidth="1"/>
    <col min="14" max="14" width="10" style="21" bestFit="1" customWidth="1"/>
    <col min="15" max="15" width="46.42578125" style="21" bestFit="1" customWidth="1"/>
    <col min="16" max="16" width="20.42578125" style="21" customWidth="1"/>
    <col min="17" max="17" width="20" bestFit="1" customWidth="1"/>
    <col min="18" max="18" width="11.7109375" bestFit="1" customWidth="1"/>
    <col min="19" max="19" width="11.140625" customWidth="1"/>
    <col min="20" max="20" width="14.85546875" customWidth="1"/>
    <col min="21" max="21" width="0.140625" customWidth="1"/>
    <col min="22" max="22" width="15" bestFit="1" customWidth="1"/>
    <col min="23" max="23" width="12.7109375" bestFit="1" customWidth="1"/>
    <col min="24" max="24" width="17.5703125" customWidth="1"/>
    <col min="25" max="25" width="15.7109375" bestFit="1" customWidth="1"/>
    <col min="26" max="26" width="13" customWidth="1"/>
    <col min="27" max="27" width="14.85546875" customWidth="1"/>
    <col min="28" max="28" width="10.140625" customWidth="1"/>
    <col min="29" max="29" width="47.85546875" customWidth="1"/>
  </cols>
  <sheetData>
    <row r="1" spans="1:28">
      <c r="A1" s="18" t="s">
        <v>240</v>
      </c>
      <c r="F1" s="19">
        <v>0.29166666666666669</v>
      </c>
      <c r="G1" s="19">
        <v>0.72222222222222221</v>
      </c>
      <c r="H1" s="19">
        <v>0.29166666666666669</v>
      </c>
      <c r="I1" s="19"/>
      <c r="W1" s="22"/>
    </row>
    <row r="2" spans="1:28">
      <c r="F2" s="19">
        <v>0.33263888888888887</v>
      </c>
      <c r="G2" s="19">
        <v>0.76388888888888884</v>
      </c>
      <c r="H2" s="19">
        <v>0.33333333333333331</v>
      </c>
      <c r="W2" s="22"/>
      <c r="AA2" s="6"/>
    </row>
    <row r="3" spans="1:28">
      <c r="F3" s="19">
        <v>0.4993055555555555</v>
      </c>
      <c r="G3" s="19">
        <v>0.93055555555555547</v>
      </c>
      <c r="H3" s="19">
        <v>0.5</v>
      </c>
      <c r="W3" s="22"/>
    </row>
    <row r="4" spans="1:28" ht="18.75">
      <c r="A4" s="292" t="s">
        <v>241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W4" s="22"/>
      <c r="AA4" s="23"/>
    </row>
    <row r="5" spans="1:28" ht="37.5" customHeight="1">
      <c r="A5" s="24" t="s">
        <v>242</v>
      </c>
      <c r="B5" s="25" t="s">
        <v>35</v>
      </c>
      <c r="C5" s="25" t="s">
        <v>243</v>
      </c>
      <c r="D5" s="26" t="s">
        <v>244</v>
      </c>
      <c r="E5" s="26" t="s">
        <v>245</v>
      </c>
      <c r="F5" s="26" t="s">
        <v>246</v>
      </c>
      <c r="G5" s="26" t="s">
        <v>247</v>
      </c>
      <c r="H5" s="24" t="s">
        <v>248</v>
      </c>
      <c r="I5" s="25" t="s">
        <v>249</v>
      </c>
      <c r="J5" s="25" t="s">
        <v>250</v>
      </c>
      <c r="K5" s="26" t="s">
        <v>251</v>
      </c>
      <c r="L5" s="26" t="s">
        <v>252</v>
      </c>
      <c r="M5" s="26" t="s">
        <v>253</v>
      </c>
      <c r="N5" s="26" t="s">
        <v>254</v>
      </c>
      <c r="O5" s="27" t="s">
        <v>255</v>
      </c>
      <c r="P5" s="28" t="s">
        <v>256</v>
      </c>
      <c r="Q5" s="28" t="s">
        <v>257</v>
      </c>
      <c r="S5" s="29"/>
      <c r="T5" s="29"/>
      <c r="V5" s="294" t="s">
        <v>258</v>
      </c>
      <c r="W5" s="294"/>
      <c r="X5" s="294"/>
      <c r="Y5" s="294"/>
      <c r="Z5" s="30"/>
      <c r="AA5" s="295"/>
      <c r="AB5" s="295"/>
    </row>
    <row r="6" spans="1:28" ht="17.25" customHeight="1">
      <c r="A6" s="31">
        <f>'PCD SALAS'!C4</f>
        <v>46297</v>
      </c>
      <c r="B6" s="32" t="str">
        <f>'PCD SALAS'!D4</f>
        <v>FEU8905</v>
      </c>
      <c r="C6" s="33">
        <f>'PCD SALAS'!E4</f>
        <v>179806</v>
      </c>
      <c r="D6" s="84" t="str" cm="1">
        <f t="array" ref="D6">IFERROR(INDEX('03.11.20'!G:G,MATCH(1,(('03.11.20'!A:A=C6)*('03.11.20'!B:B="Saida Cdd/Fab        ")),0)),"")</f>
        <v/>
      </c>
      <c r="E6" s="34" t="str" cm="1">
        <f t="array" ref="E6">IFERROR(INDEX('03.11.20'!G:G,MATCH(1,(('03.11.20'!A:A=C6)*('03.11.20'!B:B="Entrada Cdd/Fab      ")),0)),"")</f>
        <v/>
      </c>
      <c r="F6" s="34" t="str" cm="1">
        <f t="array" ref="F6">IFERROR(INDEX('03.11.20'!G:G,MATCH(1,(('03.11.20'!A:A=C6)*('03.11.20'!B:B="PC_Fisica            ")),0)),"")</f>
        <v/>
      </c>
      <c r="G6" s="34" t="str" cm="1">
        <f t="array" ref="G6">IFERROR(INDEX('03.11.20'!G:G,MATCH(1,(('03.11.20'!A:A=C6)*('03.11.20'!B:B="PC_Financeira        ")),0)),"")</f>
        <v/>
      </c>
      <c r="H6" s="34" t="str">
        <f>IF(D6&lt;H$1, "00:30:00", IFERROR(D6-H$1, ""))</f>
        <v/>
      </c>
      <c r="I6" s="34" t="str">
        <f>IFERROR(IF(SUM(H6,K6,J6)=TIME(0,0,0),"",SUM(H6,K6,J6)),"")</f>
        <v/>
      </c>
      <c r="J6" s="34" t="str">
        <f>IFERROR(IF(F6 &gt; G6, F6, G6) - E6, "")</f>
        <v/>
      </c>
      <c r="K6" s="34" t="str">
        <f>IFERROR(E6-D6,"")</f>
        <v/>
      </c>
      <c r="L6" s="35">
        <f>VLOOKUP(C6,'03114902'!I:X,16,0)</f>
        <v>24</v>
      </c>
      <c r="M6" s="34">
        <f>VLOOKUP(C6,'03114902'!I:W,15,0)</f>
        <v>0.42638888888888887</v>
      </c>
      <c r="N6" s="81">
        <f>VLOOKUP(C6,'03114902'!I:Z,18,0)</f>
        <v>37.86</v>
      </c>
      <c r="O6" s="37" t="str">
        <f>VLOOKUP(C6,Tabela3[[Mapa]:[Motorista]],4,0)</f>
        <v>SIDENEI GUERRA</v>
      </c>
      <c r="P6" s="38"/>
      <c r="Q6" s="38"/>
      <c r="S6" s="39">
        <f>IF(F6&lt;=$G$1,1,0)</f>
        <v>0</v>
      </c>
      <c r="T6" s="39">
        <f>IF(G6&lt;=$G$1,1,0)</f>
        <v>0</v>
      </c>
      <c r="U6" s="40">
        <f>SUM(S6:T6)</f>
        <v>0</v>
      </c>
      <c r="V6" s="269" t="s">
        <v>248</v>
      </c>
      <c r="W6" s="269" t="s">
        <v>259</v>
      </c>
      <c r="X6" s="41" t="s">
        <v>260</v>
      </c>
      <c r="Y6" s="269" t="s">
        <v>261</v>
      </c>
      <c r="Z6" s="30"/>
      <c r="AA6" s="296" t="e">
        <f>AVERAGE(H6:H17,H22:H38,H42:H45)</f>
        <v>#DIV/0!</v>
      </c>
      <c r="AB6" s="296"/>
    </row>
    <row r="7" spans="1:28" ht="17.25" customHeight="1">
      <c r="A7" s="31">
        <f>'PCD SALAS'!C5</f>
        <v>46297</v>
      </c>
      <c r="B7" s="32" t="str">
        <f>'PCD SALAS'!D5</f>
        <v>GIU0950</v>
      </c>
      <c r="C7" s="33">
        <f>'PCD SALAS'!E5</f>
        <v>179805</v>
      </c>
      <c r="D7" s="84" t="str" cm="1">
        <f t="array" ref="D7">IFERROR(INDEX('03.11.20'!G:G,MATCH(1,(('03.11.20'!A:A=C7)*('03.11.20'!B:B="Saida Cdd/Fab        ")),0)),"")</f>
        <v/>
      </c>
      <c r="E7" s="34" t="str" cm="1">
        <f t="array" ref="E7">IFERROR(INDEX('03.11.20'!G:G,MATCH(1,(('03.11.20'!A:A=C7)*('03.11.20'!B:B="Entrada Cdd/Fab      ")),0)),"")</f>
        <v/>
      </c>
      <c r="F7" s="34" t="str" cm="1">
        <f t="array" ref="F7">IFERROR(INDEX('03.11.20'!G:G,MATCH(1,(('03.11.20'!A:A=C7)*('03.11.20'!B:B="PC_Fisica            ")),0)),"")</f>
        <v/>
      </c>
      <c r="G7" s="34" t="str" cm="1">
        <f t="array" ref="G7">IFERROR(INDEX('03.11.20'!G:G,MATCH(1,(('03.11.20'!A:A=C7)*('03.11.20'!B:B="PC_Financeira        ")),0)),"")</f>
        <v/>
      </c>
      <c r="H7" s="34" t="str">
        <f t="shared" ref="H7:H13" si="0">IF(D7&lt;H$1, "00:30:00", IFERROR(D7-H$1, ""))</f>
        <v/>
      </c>
      <c r="I7" s="34" t="str">
        <f t="shared" ref="I7:I17" si="1">IFERROR(IF(SUM(H7,K7,J7)=TIME(0,0,0),"",SUM(H7,K7,J7)),"")</f>
        <v/>
      </c>
      <c r="J7" s="34" t="str">
        <f t="shared" ref="J7:J17" si="2">IFERROR(IF(F7 &gt; G7, F7, G7) - E7, "")</f>
        <v/>
      </c>
      <c r="K7" s="34" t="str">
        <f t="shared" ref="K7:K12" si="3">IFERROR(E7-D7,"")</f>
        <v/>
      </c>
      <c r="L7" s="35">
        <f>VLOOKUP(C7,'03114902'!I:X,16,0)</f>
        <v>23</v>
      </c>
      <c r="M7" s="34">
        <f>VLOOKUP(C7,'03114902'!I:W,15,0)</f>
        <v>0.43680555555555556</v>
      </c>
      <c r="N7" s="81">
        <f>VLOOKUP(C7,'03114902'!I:Z,18,0)</f>
        <v>50.74</v>
      </c>
      <c r="O7" s="37" t="str">
        <f>VLOOKUP(C7,Tabela3[[Mapa]:[Motorista]],4,0)</f>
        <v>ELSO VAZ DE OLIVEIRA</v>
      </c>
      <c r="P7" s="38"/>
      <c r="Q7" s="38"/>
      <c r="S7" s="39">
        <f t="shared" ref="S7:T13" si="4">IF(F7&lt;=$G$1,1,0)</f>
        <v>0</v>
      </c>
      <c r="T7" s="39">
        <f t="shared" si="4"/>
        <v>0</v>
      </c>
      <c r="U7" s="40">
        <f t="shared" ref="U7:U14" si="5">SUM(S7:T7)</f>
        <v>0</v>
      </c>
      <c r="V7" s="297" t="e">
        <f>AVERAGE(H6:H15)</f>
        <v>#DIV/0!</v>
      </c>
      <c r="W7" s="298">
        <f>COUNT(C6:C17)</f>
        <v>6</v>
      </c>
      <c r="X7" s="298">
        <f>COUNTIF(U6:U17,  2)</f>
        <v>0</v>
      </c>
      <c r="Y7" s="299">
        <f>X7/W7</f>
        <v>0</v>
      </c>
      <c r="Z7" s="42"/>
      <c r="AA7" s="296"/>
      <c r="AB7" s="296"/>
    </row>
    <row r="8" spans="1:28" ht="17.25" customHeight="1">
      <c r="A8" s="31">
        <f>'PCD SALAS'!C6</f>
        <v>46297</v>
      </c>
      <c r="B8" s="32" t="str">
        <f>'PCD SALAS'!D6</f>
        <v>QJU2428</v>
      </c>
      <c r="C8" s="33">
        <f>'PCD SALAS'!E6</f>
        <v>179810</v>
      </c>
      <c r="D8" s="84" t="str" cm="1">
        <f t="array" ref="D8">IFERROR(INDEX('03.11.20'!G:G,MATCH(1,(('03.11.20'!A:A=C8)*('03.11.20'!B:B="Saida Cdd/Fab        ")),0)),"")</f>
        <v/>
      </c>
      <c r="E8" s="34" t="str" cm="1">
        <f t="array" ref="E8">IFERROR(INDEX('03.11.20'!G:G,MATCH(1,(('03.11.20'!A:A=C8)*('03.11.20'!B:B="Entrada Cdd/Fab      ")),0)),"")</f>
        <v/>
      </c>
      <c r="F8" s="34" t="str" cm="1">
        <f t="array" ref="F8">IFERROR(INDEX('03.11.20'!G:G,MATCH(1,(('03.11.20'!A:A=C8)*('03.11.20'!B:B="PC_Fisica            ")),0)),"")</f>
        <v/>
      </c>
      <c r="G8" s="34" t="str" cm="1">
        <f t="array" ref="G8">IFERROR(INDEX('03.11.20'!G:G,MATCH(1,(('03.11.20'!A:A=C8)*('03.11.20'!B:B="PC_Financeira        ")),0)),"")</f>
        <v/>
      </c>
      <c r="H8" s="34" t="str">
        <f t="shared" si="0"/>
        <v/>
      </c>
      <c r="I8" s="34" t="str">
        <f t="shared" si="1"/>
        <v/>
      </c>
      <c r="J8" s="34" t="str">
        <f t="shared" si="2"/>
        <v/>
      </c>
      <c r="K8" s="34" t="str">
        <f t="shared" si="3"/>
        <v/>
      </c>
      <c r="L8" s="35">
        <f>VLOOKUP(C8,'03114902'!I:X,16,0)</f>
        <v>1</v>
      </c>
      <c r="M8" s="34">
        <f>VLOOKUP(C8,'03114902'!I:W,15,0)</f>
        <v>0.25138888888888888</v>
      </c>
      <c r="N8" s="81">
        <f>VLOOKUP(C8,'03114902'!I:Z,18,0)</f>
        <v>97.3</v>
      </c>
      <c r="O8" s="37" t="str">
        <f>VLOOKUP(C8,Tabela3[[Mapa]:[Motorista]],4,0)</f>
        <v>ADAIR DE ALMEIDA</v>
      </c>
      <c r="P8" s="43"/>
      <c r="Q8" s="43"/>
      <c r="S8" s="39">
        <f t="shared" si="4"/>
        <v>0</v>
      </c>
      <c r="T8" s="39">
        <f t="shared" si="4"/>
        <v>0</v>
      </c>
      <c r="U8" s="40">
        <f t="shared" si="5"/>
        <v>0</v>
      </c>
      <c r="V8" s="298"/>
      <c r="W8" s="298"/>
      <c r="X8" s="298"/>
      <c r="Y8" s="299"/>
      <c r="Z8" s="42"/>
      <c r="AA8" s="300"/>
      <c r="AB8" s="300"/>
    </row>
    <row r="9" spans="1:28" ht="17.25" customHeight="1">
      <c r="A9" s="31">
        <f>'PCD SALAS'!C7</f>
        <v>46297</v>
      </c>
      <c r="B9" s="32" t="str">
        <f>'PCD SALAS'!D7</f>
        <v>FUE8714</v>
      </c>
      <c r="C9" s="33">
        <f>'PCD SALAS'!E7</f>
        <v>179807</v>
      </c>
      <c r="D9" s="84" t="str" cm="1">
        <f t="array" ref="D9">IFERROR(INDEX('03.11.20'!G:G,MATCH(1,(('03.11.20'!A:A=C9)*('03.11.20'!B:B="Saida Cdd/Fab        ")),0)),"")</f>
        <v/>
      </c>
      <c r="E9" s="34" t="str" cm="1">
        <f t="array" ref="E9">IFERROR(INDEX('03.11.20'!G:G,MATCH(1,(('03.11.20'!A:A=C9)*('03.11.20'!B:B="Entrada Cdd/Fab      ")),0)),"")</f>
        <v/>
      </c>
      <c r="F9" s="34" t="str" cm="1">
        <f t="array" ref="F9">IFERROR(INDEX('03.11.20'!G:G,MATCH(1,(('03.11.20'!A:A=C9)*('03.11.20'!B:B="PC_Fisica            ")),0)),"")</f>
        <v/>
      </c>
      <c r="G9" s="34" t="str" cm="1">
        <f t="array" ref="G9">IFERROR(INDEX('03.11.20'!G:G,MATCH(1,(('03.11.20'!A:A=C9)*('03.11.20'!B:B="PC_Financeira        ")),0)),"")</f>
        <v/>
      </c>
      <c r="H9" s="34" t="str">
        <f>IF(D9&lt;H$1, "00:30:00", IFERROR(D9-H$1, ""))</f>
        <v/>
      </c>
      <c r="I9" s="34" t="str">
        <f t="shared" si="1"/>
        <v/>
      </c>
      <c r="J9" s="34" t="str">
        <f t="shared" si="2"/>
        <v/>
      </c>
      <c r="K9" s="34" t="str">
        <f t="shared" si="3"/>
        <v/>
      </c>
      <c r="L9" s="35">
        <f>VLOOKUP(C9,'03114902'!I:X,16,0)</f>
        <v>18</v>
      </c>
      <c r="M9" s="34">
        <f>VLOOKUP(C9,'03114902'!I:W,15,0)</f>
        <v>0.43125000000000002</v>
      </c>
      <c r="N9" s="81">
        <f>VLOOKUP(C9,'03114902'!I:Z,18,0)</f>
        <v>43.77</v>
      </c>
      <c r="O9" s="37" t="str">
        <f>VLOOKUP(C9,Tabela3[[Mapa]:[Motorista]],4,0)</f>
        <v>OSMAR ANTONIO CAMARGO</v>
      </c>
      <c r="P9" s="47"/>
      <c r="Q9" s="47"/>
      <c r="S9" s="39">
        <f t="shared" si="4"/>
        <v>0</v>
      </c>
      <c r="T9" s="39">
        <f t="shared" si="4"/>
        <v>0</v>
      </c>
      <c r="U9" s="40">
        <f t="shared" si="5"/>
        <v>0</v>
      </c>
      <c r="V9" s="294" t="s">
        <v>262</v>
      </c>
      <c r="W9" s="294"/>
      <c r="X9" s="294"/>
      <c r="Y9" s="294"/>
      <c r="Z9" s="30"/>
      <c r="AA9" s="301">
        <f>COUNT(H6:H17,H22:H38,H42:H45)</f>
        <v>0</v>
      </c>
      <c r="AB9" s="301"/>
    </row>
    <row r="10" spans="1:28" ht="17.25" customHeight="1">
      <c r="A10" s="31">
        <f>'PCD SALAS'!C8</f>
        <v>46297</v>
      </c>
      <c r="B10" s="32" t="str">
        <f>'PCD SALAS'!D8</f>
        <v>FML6122</v>
      </c>
      <c r="C10" s="33">
        <f>'PCD SALAS'!E8</f>
        <v>179801</v>
      </c>
      <c r="D10" s="84" t="str" cm="1">
        <f t="array" ref="D10">IFERROR(INDEX('03.11.20'!G:G,MATCH(1,(('03.11.20'!A:A=C10)*('03.11.20'!B:B="Saida Cdd/Fab        ")),0)),"")</f>
        <v/>
      </c>
      <c r="E10" s="34" t="str" cm="1">
        <f t="array" ref="E10">IFERROR(INDEX('03.11.20'!G:G,MATCH(1,(('03.11.20'!A:A=C10)*('03.11.20'!B:B="Entrada Cdd/Fab      ")),0)),"")</f>
        <v/>
      </c>
      <c r="F10" s="34" t="str" cm="1">
        <f t="array" ref="F10">IFERROR(INDEX('03.11.20'!G:G,MATCH(1,(('03.11.20'!A:A=C10)*('03.11.20'!B:B="PC_Fisica            ")),0)),"")</f>
        <v/>
      </c>
      <c r="G10" s="34" t="str" cm="1">
        <f t="array" ref="G10">IFERROR(INDEX('03.11.20'!G:G,MATCH(1,(('03.11.20'!A:A=C10)*('03.11.20'!B:B="PC_Financeira        ")),0)),"")</f>
        <v/>
      </c>
      <c r="H10" s="34" t="str">
        <f t="shared" si="0"/>
        <v/>
      </c>
      <c r="I10" s="34" t="str">
        <f t="shared" si="1"/>
        <v/>
      </c>
      <c r="J10" s="34" t="str">
        <f t="shared" si="2"/>
        <v/>
      </c>
      <c r="K10" s="34" t="str">
        <f t="shared" si="3"/>
        <v/>
      </c>
      <c r="L10" s="35">
        <f>VLOOKUP(C10,'03114902'!I:X,16,0)</f>
        <v>14</v>
      </c>
      <c r="M10" s="34">
        <f>VLOOKUP(C10,'03114902'!I:W,15,0)</f>
        <v>0.43541666666666667</v>
      </c>
      <c r="N10" s="81">
        <f>VLOOKUP(C10,'03114902'!I:Z,18,0)</f>
        <v>45.62</v>
      </c>
      <c r="O10" s="37" t="str">
        <f>VLOOKUP(C10,Tabela3[[Mapa]:[Motorista]],4,0)</f>
        <v>FELIPE DE OLIVEIRA PORTO</v>
      </c>
      <c r="P10" s="38"/>
      <c r="Q10" s="38"/>
      <c r="S10" s="39">
        <f t="shared" si="4"/>
        <v>0</v>
      </c>
      <c r="T10" s="39">
        <f t="shared" si="4"/>
        <v>0</v>
      </c>
      <c r="U10" s="40">
        <f t="shared" si="5"/>
        <v>0</v>
      </c>
      <c r="V10" s="269" t="s">
        <v>248</v>
      </c>
      <c r="W10" s="269" t="s">
        <v>259</v>
      </c>
      <c r="X10" s="41" t="s">
        <v>260</v>
      </c>
      <c r="Y10" s="269" t="s">
        <v>261</v>
      </c>
      <c r="Z10" s="30"/>
      <c r="AA10" s="302">
        <f>COUNT(H22:H38,H6:H12,H42:H43)</f>
        <v>0</v>
      </c>
      <c r="AB10" s="302"/>
    </row>
    <row r="11" spans="1:28" ht="17.25" customHeight="1">
      <c r="A11" s="31">
        <f>'PCD SALAS'!C9</f>
        <v>46297</v>
      </c>
      <c r="B11" s="32" t="str">
        <f>'PCD SALAS'!D9</f>
        <v>FCO7153</v>
      </c>
      <c r="C11" s="33">
        <f>'PCD SALAS'!E9</f>
        <v>179802</v>
      </c>
      <c r="D11" s="84" t="str" cm="1">
        <f t="array" ref="D11">IFERROR(INDEX('03.11.20'!G:G,MATCH(1,(('03.11.20'!A:A=C11)*('03.11.20'!B:B="Saida Cdd/Fab        ")),0)),"")</f>
        <v/>
      </c>
      <c r="E11" s="34" t="str" cm="1">
        <f t="array" ref="E11">IFERROR(INDEX('03.11.20'!G:G,MATCH(1,(('03.11.20'!A:A=C11)*('03.11.20'!B:B="Entrada Cdd/Fab      ")),0)),"")</f>
        <v/>
      </c>
      <c r="F11" s="34" t="str" cm="1">
        <f t="array" ref="F11">IFERROR(INDEX('03.11.20'!G:G,MATCH(1,(('03.11.20'!A:A=C11)*('03.11.20'!B:B="PC_Fisica            ")),0)),"")</f>
        <v/>
      </c>
      <c r="G11" s="34" t="str" cm="1">
        <f t="array" ref="G11">IFERROR(INDEX('03.11.20'!G:G,MATCH(1,(('03.11.20'!A:A=C11)*('03.11.20'!B:B="PC_Financeira        ")),0)),"")</f>
        <v/>
      </c>
      <c r="H11" s="34" t="str">
        <f t="shared" si="0"/>
        <v/>
      </c>
      <c r="I11" s="34" t="str">
        <f t="shared" si="1"/>
        <v/>
      </c>
      <c r="J11" s="34" t="str">
        <f t="shared" si="2"/>
        <v/>
      </c>
      <c r="K11" s="34" t="str">
        <f t="shared" si="3"/>
        <v/>
      </c>
      <c r="L11" s="35">
        <f>VLOOKUP(C11,'03114902'!I:X,16,0)</f>
        <v>16</v>
      </c>
      <c r="M11" s="34">
        <f>VLOOKUP(C11,'03114902'!I:W,15,0)</f>
        <v>0.4201388888888889</v>
      </c>
      <c r="N11" s="81">
        <f>VLOOKUP(C11,'03114902'!I:Z,18,0)</f>
        <v>57.46</v>
      </c>
      <c r="O11" s="37" t="str">
        <f>VLOOKUP(C11,Tabela3[[Mapa]:[Motorista]],4,0)</f>
        <v>PAULO EDSON DE OLIVEIRA</v>
      </c>
      <c r="P11" s="47"/>
      <c r="Q11" s="47"/>
      <c r="S11" s="39">
        <f t="shared" si="4"/>
        <v>0</v>
      </c>
      <c r="T11" s="39">
        <f t="shared" si="4"/>
        <v>0</v>
      </c>
      <c r="U11" s="40">
        <f t="shared" si="5"/>
        <v>0</v>
      </c>
      <c r="V11" s="297" t="e">
        <f>AVERAGE(H22:H38)</f>
        <v>#DIV/0!</v>
      </c>
      <c r="W11" s="298">
        <f>COUNT(C22:C38)</f>
        <v>10</v>
      </c>
      <c r="X11" s="298">
        <f>COUNTIF(U22:U38, 2)</f>
        <v>0</v>
      </c>
      <c r="Y11" s="299">
        <f>X11/W11</f>
        <v>0</v>
      </c>
      <c r="Z11" s="42"/>
      <c r="AA11" s="303"/>
      <c r="AB11" s="303"/>
    </row>
    <row r="12" spans="1:28" ht="17.25" customHeight="1">
      <c r="A12" s="31" t="str">
        <f>'PCD SALAS'!C10</f>
        <v/>
      </c>
      <c r="B12" s="32" t="str">
        <f>'PCD SALAS'!D10</f>
        <v/>
      </c>
      <c r="C12" s="33" t="str">
        <f>'PCD SALAS'!E10</f>
        <v/>
      </c>
      <c r="D12" s="84" t="str" cm="1">
        <f t="array" ref="D12">IFERROR(INDEX('03.11.20'!G:G,MATCH(1,(('03.11.20'!A:A=C12)*('03.11.20'!B:B="Saida Cdd/Fab        ")),0)),"")</f>
        <v/>
      </c>
      <c r="E12" s="34" t="str" cm="1">
        <f t="array" ref="E12">IFERROR(INDEX('03.11.20'!G:G,MATCH(1,(('03.11.20'!A:A=C12)*('03.11.20'!B:B="Entrada Cdd/Fab      ")),0)),"")</f>
        <v/>
      </c>
      <c r="F12" s="34" t="str" cm="1">
        <f t="array" ref="F12">IFERROR(INDEX('03.11.20'!G:G,MATCH(1,(('03.11.20'!A:A=C12)*('03.11.20'!B:B="PC_Fisica            ")),0)),"")</f>
        <v/>
      </c>
      <c r="G12" s="34" t="str" cm="1">
        <f t="array" ref="G12">IFERROR(INDEX('03.11.20'!G:G,MATCH(1,(('03.11.20'!A:A=C12)*('03.11.20'!B:B="PC_Financeira        ")),0)),"")</f>
        <v/>
      </c>
      <c r="H12" s="34" t="str">
        <f t="shared" si="0"/>
        <v/>
      </c>
      <c r="I12" s="34" t="str">
        <f t="shared" si="1"/>
        <v/>
      </c>
      <c r="J12" s="34" t="str">
        <f t="shared" si="2"/>
        <v/>
      </c>
      <c r="K12" s="34" t="str">
        <f t="shared" si="3"/>
        <v/>
      </c>
      <c r="L12" s="35" t="e">
        <f>VLOOKUP(C12,'03114902'!I:X,16,0)</f>
        <v>#N/A</v>
      </c>
      <c r="M12" s="34" t="e">
        <f>VLOOKUP(C12,'03114902'!I:W,15,0)</f>
        <v>#N/A</v>
      </c>
      <c r="N12" s="81" t="e">
        <f>VLOOKUP(C12,'03114902'!I:Z,18,0)</f>
        <v>#N/A</v>
      </c>
      <c r="O12" s="37" t="e">
        <f>VLOOKUP(C12,Tabela3[[Mapa]:[Motorista]],4,0)</f>
        <v>#N/A</v>
      </c>
      <c r="P12" s="47"/>
      <c r="Q12" s="47"/>
      <c r="S12" s="39">
        <f t="shared" si="4"/>
        <v>0</v>
      </c>
      <c r="T12" s="39">
        <f t="shared" si="4"/>
        <v>0</v>
      </c>
      <c r="U12" s="40">
        <f t="shared" si="5"/>
        <v>0</v>
      </c>
      <c r="V12" s="297"/>
      <c r="W12" s="298"/>
      <c r="X12" s="298"/>
      <c r="Y12" s="299"/>
      <c r="Z12" s="42"/>
      <c r="AA12" s="303" t="s">
        <v>263</v>
      </c>
      <c r="AB12" s="303"/>
    </row>
    <row r="13" spans="1:28" ht="17.25" customHeight="1">
      <c r="A13" s="31" t="str">
        <f>'PCD SALAS'!C11</f>
        <v/>
      </c>
      <c r="B13" s="32" t="str">
        <f>'PCD SALAS'!D11</f>
        <v/>
      </c>
      <c r="C13" s="33" t="str">
        <f>'PCD SALAS'!E11</f>
        <v/>
      </c>
      <c r="D13" s="84" t="str" cm="1">
        <f t="array" ref="D13">IFERROR(INDEX('03.11.20'!G:G,MATCH(1,(('03.11.20'!A:A=C13)*('03.11.20'!B:B="Saida Cdd/Fab        ")),0)),"")</f>
        <v/>
      </c>
      <c r="E13" s="34" t="str" cm="1">
        <f t="array" ref="E13">IFERROR(INDEX('03.11.20'!G:G,MATCH(1,(('03.11.20'!A:A=C13)*('03.11.20'!B:B="Entrada Cdd/Fab      ")),0)),"")</f>
        <v/>
      </c>
      <c r="F13" s="34" t="str" cm="1">
        <f t="array" ref="F13">IFERROR(INDEX('03.11.20'!G:G,MATCH(1,(('03.11.20'!A:A=C13)*('03.11.20'!B:B="PC_Fisica            ")),0)),"")</f>
        <v/>
      </c>
      <c r="G13" s="34" t="str" cm="1">
        <f t="array" ref="G13">IFERROR(INDEX('03.11.20'!G:G,MATCH(1,(('03.11.20'!A:A=C13)*('03.11.20'!B:B="PC_Financeira        ")),0)),"")</f>
        <v/>
      </c>
      <c r="H13" s="34" t="str">
        <f t="shared" si="0"/>
        <v/>
      </c>
      <c r="I13" s="34" t="str">
        <f t="shared" si="1"/>
        <v/>
      </c>
      <c r="J13" s="34" t="str">
        <f t="shared" si="2"/>
        <v/>
      </c>
      <c r="K13" s="34" t="str">
        <f t="shared" ref="K13" si="6">IFERROR(E13-D13,"")</f>
        <v/>
      </c>
      <c r="L13" s="35" t="e">
        <f>VLOOKUP(C13,'03114902'!I:X,16,0)</f>
        <v>#N/A</v>
      </c>
      <c r="M13" s="34" t="e">
        <f>VLOOKUP(C13,'03114902'!I:W,15,0)</f>
        <v>#N/A</v>
      </c>
      <c r="N13" s="81" t="e">
        <f>VLOOKUP(C13,'03114902'!I:Z,18,0)</f>
        <v>#N/A</v>
      </c>
      <c r="O13" s="37" t="e">
        <f>VLOOKUP(C13,Tabela3[[Mapa]:[Motorista]],4,0)</f>
        <v>#N/A</v>
      </c>
      <c r="P13" s="47"/>
      <c r="Q13" s="47"/>
      <c r="S13" s="39">
        <f>IF(F13&lt;=$G$1,1,0)</f>
        <v>0</v>
      </c>
      <c r="T13" s="39">
        <f t="shared" si="4"/>
        <v>0</v>
      </c>
      <c r="U13" s="40">
        <f t="shared" si="5"/>
        <v>0</v>
      </c>
      <c r="V13" s="294" t="s">
        <v>264</v>
      </c>
      <c r="W13" s="294"/>
      <c r="X13" s="294"/>
      <c r="Y13" s="294"/>
      <c r="Z13" s="30"/>
      <c r="AA13" s="270"/>
      <c r="AB13" s="270"/>
    </row>
    <row r="14" spans="1:28" ht="14.25" customHeight="1">
      <c r="A14" s="31" t="str">
        <f>'PCD SALAS'!C12</f>
        <v/>
      </c>
      <c r="B14" s="32" t="str">
        <f>'PCD SALAS'!D12</f>
        <v/>
      </c>
      <c r="C14" s="33" t="str">
        <f>'PCD SALAS'!E12</f>
        <v/>
      </c>
      <c r="D14" s="84" t="str" cm="1">
        <f t="array" ref="D14">IFERROR(INDEX('03.11.20'!G:G,MATCH(1,(('03.11.20'!A:A=C14)*('03.11.20'!B:B="Saida Cdd/Fab        ")),0)),"")</f>
        <v/>
      </c>
      <c r="E14" s="34" t="str" cm="1">
        <f t="array" ref="E14">IFERROR(INDEX('03.11.20'!G:G,MATCH(1,(('03.11.20'!A:A=C14)*('03.11.20'!B:B="Entrada Cdd/Fab      ")),0)),"")</f>
        <v/>
      </c>
      <c r="F14" s="34" t="str" cm="1">
        <f t="array" ref="F14">IFERROR(INDEX('03.11.20'!G:G,MATCH(1,(('03.11.20'!A:A=C14)*('03.11.20'!B:B="PC_Fisica            ")),0)),"")</f>
        <v/>
      </c>
      <c r="G14" s="34" t="str" cm="1">
        <f t="array" ref="G14">IFERROR(INDEX('03.11.20'!G:G,MATCH(1,(('03.11.20'!A:A=C14)*('03.11.20'!B:B="PC_Financeira        ")),0)),"")</f>
        <v/>
      </c>
      <c r="H14" s="34" t="str">
        <f t="shared" ref="H14:H15" si="7">IF(D14&lt;H$1, "00:30:00", IFERROR(D14-H$1, ""))</f>
        <v/>
      </c>
      <c r="I14" s="34" t="str">
        <f t="shared" ref="I14:I15" si="8">IFERROR(IF(SUM(H14,K14,J14)=TIME(0,0,0),"",SUM(H14,K14,J14)),"")</f>
        <v/>
      </c>
      <c r="J14" s="34" t="str">
        <f t="shared" ref="J14:J15" si="9">IFERROR(IF(F14 &gt; G14, F14, G14) - E14, "")</f>
        <v/>
      </c>
      <c r="K14" s="34" t="str">
        <f t="shared" ref="K14:K15" si="10">IFERROR(E14-D14,"")</f>
        <v/>
      </c>
      <c r="L14" s="35" t="e">
        <f>VLOOKUP(C14,'03114902'!I:X,16,0)</f>
        <v>#N/A</v>
      </c>
      <c r="M14" s="34" t="e">
        <f>VLOOKUP(C14,'03114902'!I:W,15,0)</f>
        <v>#N/A</v>
      </c>
      <c r="N14" s="81" t="e">
        <f>VLOOKUP(C14,'03114902'!I:Z,18,0)</f>
        <v>#N/A</v>
      </c>
      <c r="O14" s="37" t="e">
        <f>VLOOKUP(C14,Tabela3[[Mapa]:[Motorista]],4,0)</f>
        <v>#N/A</v>
      </c>
      <c r="P14" s="47"/>
      <c r="Q14" s="47"/>
      <c r="S14" s="39">
        <f t="shared" ref="S14:S16" si="11">IF(F14&lt;=$G$1,1,0)</f>
        <v>0</v>
      </c>
      <c r="T14" s="39">
        <f t="shared" ref="T14:T16" si="12">IF(G14&lt;=$G$1,1,0)</f>
        <v>0</v>
      </c>
      <c r="U14" s="40">
        <f t="shared" si="5"/>
        <v>0</v>
      </c>
      <c r="V14" s="269" t="s">
        <v>248</v>
      </c>
      <c r="W14" s="269" t="s">
        <v>259</v>
      </c>
      <c r="X14" s="41" t="s">
        <v>260</v>
      </c>
      <c r="Y14" s="269" t="s">
        <v>261</v>
      </c>
      <c r="Z14" s="30"/>
      <c r="AA14" s="270"/>
      <c r="AB14" s="270"/>
    </row>
    <row r="15" spans="1:28" ht="17.25" customHeight="1">
      <c r="A15" s="31" t="str">
        <f>'PCD SALAS'!C13</f>
        <v/>
      </c>
      <c r="B15" s="32" t="str">
        <f>'PCD SALAS'!D13</f>
        <v/>
      </c>
      <c r="C15" s="33" t="str">
        <f>'PCD SALAS'!E13</f>
        <v/>
      </c>
      <c r="D15" s="84" t="str" cm="1">
        <f t="array" ref="D15">IFERROR(INDEX('03.11.20'!G:G,MATCH(1,(('03.11.20'!A:A=C15)*('03.11.20'!B:B="Saida Cdd/Fab        ")),0)),"")</f>
        <v/>
      </c>
      <c r="E15" s="34" t="str" cm="1">
        <f t="array" ref="E15">IFERROR(INDEX('03.11.20'!G:G,MATCH(1,(('03.11.20'!A:A=C15)*('03.11.20'!B:B="Entrada Cdd/Fab      ")),0)),"")</f>
        <v/>
      </c>
      <c r="F15" s="34" t="str" cm="1">
        <f t="array" ref="F15">IFERROR(INDEX('03.11.20'!G:G,MATCH(1,(('03.11.20'!A:A=C15)*('03.11.20'!B:B="PC_Fisica            ")),0)),"")</f>
        <v/>
      </c>
      <c r="G15" s="34" t="str" cm="1">
        <f t="array" ref="G15">IFERROR(INDEX('03.11.20'!G:G,MATCH(1,(('03.11.20'!A:A=C15)*('03.11.20'!B:B="PC_Financeira        ")),0)),"")</f>
        <v/>
      </c>
      <c r="H15" s="34" t="str">
        <f t="shared" si="7"/>
        <v/>
      </c>
      <c r="I15" s="34" t="str">
        <f t="shared" si="8"/>
        <v/>
      </c>
      <c r="J15" s="34" t="str">
        <f t="shared" si="9"/>
        <v/>
      </c>
      <c r="K15" s="34" t="str">
        <f t="shared" si="10"/>
        <v/>
      </c>
      <c r="L15" s="35" t="e">
        <f>VLOOKUP(C15,'03114902'!I:X,16,0)</f>
        <v>#N/A</v>
      </c>
      <c r="M15" s="34" t="e">
        <f>VLOOKUP(C15,'03114902'!I:W,15,0)</f>
        <v>#N/A</v>
      </c>
      <c r="N15" s="81" t="e">
        <f>VLOOKUP(C15,'03114902'!I:Z,18,0)</f>
        <v>#N/A</v>
      </c>
      <c r="O15" s="37" t="e">
        <f>VLOOKUP(C15,Tabela3[[Mapa]:[Motorista]],4,0)</f>
        <v>#N/A</v>
      </c>
      <c r="P15" s="47"/>
      <c r="Q15" s="47"/>
      <c r="S15" s="39">
        <f t="shared" si="11"/>
        <v>0</v>
      </c>
      <c r="T15" s="39">
        <f t="shared" si="12"/>
        <v>0</v>
      </c>
      <c r="U15" s="40"/>
      <c r="V15" s="306" t="e">
        <f>AVERAGE(H22:H38,H6:H17)</f>
        <v>#DIV/0!</v>
      </c>
      <c r="W15" s="308">
        <f>SUM(W7+W11+W23)</f>
        <v>16</v>
      </c>
      <c r="X15" s="308">
        <f>SUM(X11+X7+X23)</f>
        <v>0</v>
      </c>
      <c r="Y15" s="310">
        <f>X15/W15</f>
        <v>0</v>
      </c>
      <c r="Z15" s="42"/>
    </row>
    <row r="16" spans="1:28" ht="17.25" customHeight="1">
      <c r="A16" s="31"/>
      <c r="B16" s="32"/>
      <c r="C16" s="33"/>
      <c r="D16" s="84" t="str" cm="1">
        <f t="array" ref="D16">IFERROR(INDEX('03.11.20'!G:G,MATCH(1,(('03.11.20'!A:A=C16)*('03.11.20'!B:B="Saida Cdd/Fab        ")),0)),"")</f>
        <v/>
      </c>
      <c r="E16" s="34" t="str" cm="1">
        <f t="array" ref="E16">IFERROR(INDEX('03.11.20'!G:G,MATCH(1,(('03.11.20'!A:A=C16)*('03.11.20'!B:B="Entrada Cdd/Fab      ")),0)),"")</f>
        <v/>
      </c>
      <c r="F16" s="34" t="str" cm="1">
        <f t="array" ref="F16">IFERROR(INDEX('03.11.20'!G:G,MATCH(1,(('03.11.20'!A:A=C16)*('03.11.20'!B:B="PC_Fisica            ")),0)),"")</f>
        <v/>
      </c>
      <c r="G16" s="34" t="str" cm="1">
        <f t="array" ref="G16">IFERROR(INDEX('03.11.20'!G:G,MATCH(1,(('03.11.20'!A:A=C16)*('03.11.20'!B:B="PC_Financeira        ")),0)),"")</f>
        <v/>
      </c>
      <c r="H16" s="34" t="str">
        <f t="shared" ref="H16:H17" si="13">IF(D16&lt;H$1, "00:30:00", IFERROR(D16-H$1, ""))</f>
        <v/>
      </c>
      <c r="I16" s="34" t="str">
        <f t="shared" si="1"/>
        <v/>
      </c>
      <c r="J16" s="34" t="str">
        <f t="shared" si="2"/>
        <v/>
      </c>
      <c r="K16" s="34" t="str">
        <f t="shared" ref="K16:K17" si="14">IFERROR(E16-D16,"")</f>
        <v/>
      </c>
      <c r="L16" s="35"/>
      <c r="M16" s="34"/>
      <c r="N16" s="36"/>
      <c r="O16" s="37" t="str">
        <f>VLOOKUP(C16,Tabela3[[Mapa]:[Motorista]],4,0)</f>
        <v/>
      </c>
      <c r="P16" s="48"/>
      <c r="Q16" s="48"/>
      <c r="S16" s="39">
        <f t="shared" si="11"/>
        <v>0</v>
      </c>
      <c r="T16" s="39">
        <f t="shared" si="12"/>
        <v>0</v>
      </c>
      <c r="U16" s="40"/>
      <c r="V16" s="307"/>
      <c r="W16" s="309"/>
      <c r="X16" s="309"/>
      <c r="Y16" s="311"/>
      <c r="Z16" s="42"/>
    </row>
    <row r="17" spans="1:39" ht="17.25" customHeight="1">
      <c r="A17" s="44"/>
      <c r="B17" s="45"/>
      <c r="C17" s="46"/>
      <c r="D17" s="84" t="str" cm="1">
        <f t="array" ref="D17">IFERROR(INDEX('03.11.20'!G:G,MATCH(1,(('03.11.20'!A:A=C17)*('03.11.20'!B:B="Saida Cdd/Fab        ")),0)),"")</f>
        <v/>
      </c>
      <c r="E17" s="34" t="str" cm="1">
        <f t="array" ref="E17">IFERROR(INDEX('03.11.20'!G:G,MATCH(1,(('03.11.20'!A:A=C17)*('03.11.20'!B:B="Entrada Cdd/Fab      ")),0)),"")</f>
        <v/>
      </c>
      <c r="F17" s="34" t="str" cm="1">
        <f t="array" ref="F17">IFERROR(INDEX('03.11.20'!G:G,MATCH(1,(('03.11.20'!A:A=C17)*('03.11.20'!B:B="PC_Fisica            ")),0)),"")</f>
        <v/>
      </c>
      <c r="G17" s="34" t="str" cm="1">
        <f t="array" ref="G17">IFERROR(INDEX('03.11.20'!G:G,MATCH(1,(('03.11.20'!A:A=C17)*('03.11.20'!B:B="PC_Financeira        ")),0)),"")</f>
        <v/>
      </c>
      <c r="H17" s="34" t="str">
        <f t="shared" si="13"/>
        <v/>
      </c>
      <c r="I17" s="34" t="str">
        <f t="shared" si="1"/>
        <v/>
      </c>
      <c r="J17" s="34" t="str">
        <f t="shared" si="2"/>
        <v/>
      </c>
      <c r="K17" s="34" t="str">
        <f t="shared" si="14"/>
        <v/>
      </c>
      <c r="L17" s="35"/>
      <c r="M17" s="34"/>
      <c r="N17" s="36"/>
      <c r="O17" s="37" t="str">
        <f>VLOOKUP(C17,Tabela3[[Mapa]:[Motorista]],4,0)</f>
        <v/>
      </c>
      <c r="P17" s="49"/>
      <c r="Q17" s="49"/>
      <c r="S17" s="39"/>
      <c r="T17" s="39"/>
      <c r="U17" s="40"/>
      <c r="Y17" s="50"/>
      <c r="Z17" s="50"/>
    </row>
    <row r="18" spans="1:39">
      <c r="A18" s="312"/>
      <c r="B18" s="312"/>
      <c r="C18" s="312"/>
      <c r="D18" s="312"/>
      <c r="E18" s="312"/>
      <c r="F18" s="312"/>
      <c r="G18" s="312"/>
      <c r="H18" s="51"/>
      <c r="I18" s="51"/>
      <c r="K18" s="52"/>
      <c r="L18" s="52"/>
      <c r="M18" s="52"/>
      <c r="N18" s="53"/>
      <c r="O18" s="53"/>
      <c r="P18" s="53"/>
      <c r="Q18" s="54"/>
      <c r="AA18" s="55"/>
    </row>
    <row r="19" spans="1:39">
      <c r="A19" s="56"/>
      <c r="B19" s="57"/>
      <c r="C19" s="57"/>
      <c r="D19" s="57"/>
      <c r="E19" s="57"/>
      <c r="F19" s="57"/>
      <c r="G19" s="57"/>
      <c r="H19" s="58"/>
      <c r="I19" s="5"/>
      <c r="Q19" s="59"/>
      <c r="Y19" s="60"/>
      <c r="Z19" s="60"/>
      <c r="AC19" s="17" t="s">
        <v>50</v>
      </c>
    </row>
    <row r="20" spans="1:39">
      <c r="A20" s="292" t="s">
        <v>265</v>
      </c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1:39" ht="38.25" customHeight="1">
      <c r="A21" s="24" t="s">
        <v>242</v>
      </c>
      <c r="B21" s="25" t="s">
        <v>35</v>
      </c>
      <c r="C21" s="25" t="s">
        <v>243</v>
      </c>
      <c r="D21" s="26" t="s">
        <v>244</v>
      </c>
      <c r="E21" s="26" t="s">
        <v>245</v>
      </c>
      <c r="F21" s="26" t="s">
        <v>246</v>
      </c>
      <c r="G21" s="26" t="s">
        <v>247</v>
      </c>
      <c r="H21" s="61" t="s">
        <v>248</v>
      </c>
      <c r="I21" s="25" t="s">
        <v>249</v>
      </c>
      <c r="J21" s="25" t="s">
        <v>250</v>
      </c>
      <c r="K21" s="26" t="s">
        <v>251</v>
      </c>
      <c r="L21" s="26" t="s">
        <v>252</v>
      </c>
      <c r="M21" s="26" t="s">
        <v>253</v>
      </c>
      <c r="N21" s="27" t="s">
        <v>254</v>
      </c>
      <c r="O21" s="27" t="s">
        <v>255</v>
      </c>
      <c r="P21" s="28" t="s">
        <v>256</v>
      </c>
      <c r="Q21" s="28" t="s">
        <v>257</v>
      </c>
      <c r="S21" s="54" t="s">
        <v>266</v>
      </c>
      <c r="T21" s="54" t="s">
        <v>267</v>
      </c>
      <c r="U21" s="54"/>
      <c r="V21" s="294" t="s">
        <v>268</v>
      </c>
      <c r="W21" s="294"/>
      <c r="X21" s="294"/>
      <c r="Y21" s="294"/>
      <c r="Z21" s="62"/>
      <c r="AA21" s="60"/>
    </row>
    <row r="22" spans="1:39" ht="17.25" customHeight="1">
      <c r="A22" s="31">
        <f>'PCD SALAS'!C19</f>
        <v>46297</v>
      </c>
      <c r="B22" s="82" t="str">
        <f>'PCD SALAS'!D19</f>
        <v>RTI1I17</v>
      </c>
      <c r="C22" s="33">
        <f>'PCD SALAS'!E19</f>
        <v>179804</v>
      </c>
      <c r="D22" s="34" t="str" cm="1">
        <f t="array" ref="D22">IFERROR(INDEX('03.11.20'!G:G,MATCH(1,(('03.11.20'!A:A=C22)*('03.11.20'!B:B="Saida Cdd/Fab        ")),0)),"")</f>
        <v/>
      </c>
      <c r="E22" s="34" t="str" cm="1">
        <f t="array" ref="E22">IFERROR(INDEX('03.11.20'!G:G,MATCH(1,(('03.11.20'!A:A=C22)*('03.11.20'!B:B="Entrada Cdd/Fab      ")),0)),"")</f>
        <v/>
      </c>
      <c r="F22" s="34" t="str" cm="1">
        <f t="array" ref="F22">IFERROR(INDEX('03.11.20'!G:G,MATCH(1,(('03.11.20'!A:A=C22)*('03.11.20'!B:B="PC_Fisica            ")),0)),"")</f>
        <v/>
      </c>
      <c r="G22" s="34" t="str" cm="1">
        <f t="array" ref="G22">IFERROR(INDEX('03.11.20'!G:G,MATCH(1,(('03.11.20'!A:A=C22)*('03.11.20'!B:B="PC_Financeira        ")),0)),"")</f>
        <v/>
      </c>
      <c r="H22" s="34" t="str">
        <f>IF(D22&lt;H$2, "00:30:00", IFERROR(D22-H$2, ""))</f>
        <v/>
      </c>
      <c r="I22" s="34" t="str">
        <f>IFERROR(IF(SUM(H22,K22,J22)=TIME(0,0,0),"",SUM(H22,K22,J22)),"")</f>
        <v/>
      </c>
      <c r="J22" s="34" t="str">
        <f>IFERROR(IF(F22 &gt; G22, F22, G22) - E22, "")</f>
        <v/>
      </c>
      <c r="K22" s="34" t="str">
        <f>IFERROR(E22-D22,"")</f>
        <v/>
      </c>
      <c r="L22" s="35">
        <f>VLOOKUP(C22,'03114902'!I:X,16,0)</f>
        <v>21</v>
      </c>
      <c r="M22" s="34">
        <f>VLOOKUP(C22,'03114902'!I:W,15,0)</f>
        <v>0.33958333333333335</v>
      </c>
      <c r="N22" s="81">
        <f>VLOOKUP(C22,'03114902'!I:Z,18,0)</f>
        <v>74.040000000000006</v>
      </c>
      <c r="O22" s="37" t="str">
        <f>VLOOKUP(C22,Tabela3[[Mapa]:[Motorista]],4,0)</f>
        <v>ADEMAR BERGMANN TELES</v>
      </c>
      <c r="P22" s="38"/>
      <c r="Q22" s="38"/>
      <c r="S22" s="39">
        <f>IF(F22&lt;=$G$2,1,0)</f>
        <v>0</v>
      </c>
      <c r="T22" s="39">
        <f>IF(G22&lt;=$G$2,1,0)</f>
        <v>0</v>
      </c>
      <c r="U22" s="40">
        <f>SUM(S22:T22)</f>
        <v>0</v>
      </c>
      <c r="V22" s="269" t="s">
        <v>248</v>
      </c>
      <c r="W22" s="269" t="s">
        <v>259</v>
      </c>
      <c r="X22" s="41" t="s">
        <v>260</v>
      </c>
      <c r="Y22" s="269" t="s">
        <v>261</v>
      </c>
      <c r="AA22" s="65"/>
      <c r="AC22" t="s">
        <v>22</v>
      </c>
    </row>
    <row r="23" spans="1:39" ht="17.25" customHeight="1">
      <c r="A23" s="31">
        <f>'PCD SALAS'!C20</f>
        <v>46297</v>
      </c>
      <c r="B23" s="82" t="str">
        <f>'PCD SALAS'!D20</f>
        <v>RKW7G77</v>
      </c>
      <c r="C23" s="33">
        <f>'PCD SALAS'!E20</f>
        <v>179812</v>
      </c>
      <c r="D23" s="34" t="str" cm="1">
        <f t="array" ref="D23">IFERROR(INDEX('03.11.20'!G:G,MATCH(1,(('03.11.20'!A:A=C23)*('03.11.20'!B:B="Saida Cdd/Fab        ")),0)),"")</f>
        <v/>
      </c>
      <c r="E23" s="34" t="str" cm="1">
        <f t="array" ref="E23">IFERROR(INDEX('03.11.20'!G:G,MATCH(1,(('03.11.20'!A:A=C23)*('03.11.20'!B:B="Entrada Cdd/Fab      ")),0)),"")</f>
        <v/>
      </c>
      <c r="F23" s="34" t="str" cm="1">
        <f t="array" ref="F23">IFERROR(INDEX('03.11.20'!G:G,MATCH(1,(('03.11.20'!A:A=C23)*('03.11.20'!B:B="PC_Fisica            ")),0)),"")</f>
        <v/>
      </c>
      <c r="G23" s="34" t="str" cm="1">
        <f t="array" ref="G23">IFERROR(INDEX('03.11.20'!G:G,MATCH(1,(('03.11.20'!A:A=C23)*('03.11.20'!B:B="PC_Financeira        ")),0)),"")</f>
        <v/>
      </c>
      <c r="H23" s="34" t="str">
        <f t="shared" ref="H23:H38" si="15">IF(D23&lt;H$2, "00:30:00", IFERROR(D23-H$2, ""))</f>
        <v/>
      </c>
      <c r="I23" s="34" t="str">
        <f t="shared" ref="I23:I38" si="16">IFERROR(IF(SUM(H23,K23,J23)=TIME(0,0,0),"",SUM(H23,K23,J23)),"")</f>
        <v/>
      </c>
      <c r="J23" s="34" t="str">
        <f t="shared" ref="J23:J38" si="17">IFERROR(IF(F23 &gt; G23, F23, G23) - E23, "")</f>
        <v/>
      </c>
      <c r="K23" s="34" t="str">
        <f t="shared" ref="K23:K38" si="18">IFERROR(E23-D23,"")</f>
        <v/>
      </c>
      <c r="L23" s="35">
        <f>VLOOKUP(C23,'03114902'!I:X,16,0)</f>
        <v>25</v>
      </c>
      <c r="M23" s="34">
        <f>VLOOKUP(C23,'03114902'!I:W,15,0)</f>
        <v>0.42916666666666664</v>
      </c>
      <c r="N23" s="81">
        <f>VLOOKUP(C23,'03114902'!I:Z,18,0)</f>
        <v>68.63</v>
      </c>
      <c r="O23" s="37" t="str">
        <f>VLOOKUP(C23,Tabela3[[Mapa]:[Motorista]],4,0)</f>
        <v>MAICON CARVALHO</v>
      </c>
      <c r="P23" s="38"/>
      <c r="Q23" s="38"/>
      <c r="S23" s="39">
        <f t="shared" ref="S23:T37" si="19">IF(F23&lt;=$G$2,1,0)</f>
        <v>0</v>
      </c>
      <c r="T23" s="39">
        <f t="shared" si="19"/>
        <v>0</v>
      </c>
      <c r="U23" s="40">
        <f t="shared" ref="U23:U37" si="20">SUM(S23:T23)</f>
        <v>0</v>
      </c>
      <c r="V23" s="297" t="e">
        <f>AVERAGE(H42:H45)</f>
        <v>#DIV/0!</v>
      </c>
      <c r="W23" s="298">
        <f>COUNT(C42:C45)</f>
        <v>0</v>
      </c>
      <c r="X23" s="298">
        <f>COUNTIF(U42:U45,  2)</f>
        <v>0</v>
      </c>
      <c r="Y23" s="299" t="e">
        <f>X23/W23</f>
        <v>#DIV/0!</v>
      </c>
    </row>
    <row r="24" spans="1:39" ht="15.75">
      <c r="A24" s="31">
        <f>'PCD SALAS'!C21</f>
        <v>46297</v>
      </c>
      <c r="B24" s="82" t="str">
        <f>'PCD SALAS'!D21</f>
        <v>GHK2F66</v>
      </c>
      <c r="C24" s="33">
        <f>'PCD SALAS'!E21</f>
        <v>179813</v>
      </c>
      <c r="D24" s="34" t="str" cm="1">
        <f t="array" ref="D24">IFERROR(INDEX('03.11.20'!G:G,MATCH(1,(('03.11.20'!A:A=C24)*('03.11.20'!B:B="Saida Cdd/Fab        ")),0)),"")</f>
        <v/>
      </c>
      <c r="E24" s="34" t="str" cm="1">
        <f t="array" ref="E24">IFERROR(INDEX('03.11.20'!G:G,MATCH(1,(('03.11.20'!A:A=C24)*('03.11.20'!B:B="Entrada Cdd/Fab      ")),0)),"")</f>
        <v/>
      </c>
      <c r="F24" s="34" t="str" cm="1">
        <f t="array" ref="F24">IFERROR(INDEX('03.11.20'!G:G,MATCH(1,(('03.11.20'!A:A=C24)*('03.11.20'!B:B="PC_Fisica            ")),0)),"")</f>
        <v/>
      </c>
      <c r="G24" s="34" t="str" cm="1">
        <f t="array" ref="G24">IFERROR(INDEX('03.11.20'!G:G,MATCH(1,(('03.11.20'!A:A=C24)*('03.11.20'!B:B="PC_Financeira        ")),0)),"")</f>
        <v/>
      </c>
      <c r="H24" s="34" t="str">
        <f t="shared" si="15"/>
        <v/>
      </c>
      <c r="I24" s="34" t="str">
        <f t="shared" si="16"/>
        <v/>
      </c>
      <c r="J24" s="34" t="str">
        <f t="shared" si="17"/>
        <v/>
      </c>
      <c r="K24" s="34" t="str">
        <f t="shared" si="18"/>
        <v/>
      </c>
      <c r="L24" s="35">
        <f>VLOOKUP(C24,'03114902'!I:X,16,0)</f>
        <v>18</v>
      </c>
      <c r="M24" s="34">
        <f>VLOOKUP(C24,'03114902'!I:W,15,0)</f>
        <v>0.39930555555555558</v>
      </c>
      <c r="N24" s="81">
        <f>VLOOKUP(C24,'03114902'!I:Z,18,0)</f>
        <v>69.48</v>
      </c>
      <c r="O24" s="37" t="str">
        <f>VLOOKUP(C24,Tabela3[[Mapa]:[Motorista]],4,0)</f>
        <v>MATHEUS LEONARDO DE SESARO</v>
      </c>
      <c r="P24" s="38"/>
      <c r="Q24" s="38"/>
      <c r="S24" s="39">
        <f t="shared" si="19"/>
        <v>0</v>
      </c>
      <c r="T24" s="39">
        <f t="shared" si="19"/>
        <v>0</v>
      </c>
      <c r="U24" s="40">
        <f t="shared" si="20"/>
        <v>0</v>
      </c>
      <c r="V24" s="298"/>
      <c r="W24" s="298"/>
      <c r="X24" s="298"/>
      <c r="Y24" s="299"/>
      <c r="Z24" s="66"/>
    </row>
    <row r="25" spans="1:39" ht="17.25" customHeight="1">
      <c r="A25" s="31">
        <f>'PCD SALAS'!C22</f>
        <v>46297</v>
      </c>
      <c r="B25" s="82" t="str">
        <f>'PCD SALAS'!D22</f>
        <v>GAU0G73</v>
      </c>
      <c r="C25" s="33">
        <f>'PCD SALAS'!E22</f>
        <v>179809</v>
      </c>
      <c r="D25" s="34" t="str" cm="1">
        <f t="array" ref="D25">IFERROR(INDEX('03.11.20'!G:G,MATCH(1,(('03.11.20'!A:A=C25)*('03.11.20'!B:B="Saida Cdd/Fab        ")),0)),"")</f>
        <v/>
      </c>
      <c r="E25" s="34" t="str" cm="1">
        <f t="array" ref="E25">IFERROR(INDEX('03.11.20'!G:G,MATCH(1,(('03.11.20'!A:A=C25)*('03.11.20'!B:B="Entrada Cdd/Fab      ")),0)),"")</f>
        <v/>
      </c>
      <c r="F25" s="34" t="str" cm="1">
        <f t="array" ref="F25">IFERROR(INDEX('03.11.20'!G:G,MATCH(1,(('03.11.20'!A:A=C25)*('03.11.20'!B:B="PC_Fisica            ")),0)),"")</f>
        <v/>
      </c>
      <c r="G25" s="34" t="str" cm="1">
        <f t="array" ref="G25">IFERROR(INDEX('03.11.20'!G:G,MATCH(1,(('03.11.20'!A:A=C25)*('03.11.20'!B:B="PC_Financeira        ")),0)),"")</f>
        <v/>
      </c>
      <c r="H25" s="34" t="str">
        <f t="shared" si="15"/>
        <v/>
      </c>
      <c r="I25" s="34" t="str">
        <f t="shared" si="16"/>
        <v/>
      </c>
      <c r="J25" s="34" t="str">
        <f t="shared" si="17"/>
        <v/>
      </c>
      <c r="K25" s="34" t="str">
        <f t="shared" si="18"/>
        <v/>
      </c>
      <c r="L25" s="35">
        <f>VLOOKUP(C25,'03114902'!I:X,16,0)</f>
        <v>13</v>
      </c>
      <c r="M25" s="34">
        <f>VLOOKUP(C25,'03114902'!I:W,15,0)</f>
        <v>0.34027777777777779</v>
      </c>
      <c r="N25" s="81">
        <f>VLOOKUP(C25,'03114902'!I:Z,18,0)</f>
        <v>96.72</v>
      </c>
      <c r="O25" s="37" t="str">
        <f>VLOOKUP(C25,Tabela3[[Mapa]:[Motorista]],4,0)</f>
        <v>LUCAS DA CRUZ SALOMAO</v>
      </c>
      <c r="P25" s="38"/>
      <c r="Q25" s="38"/>
      <c r="S25" s="39">
        <f t="shared" si="19"/>
        <v>0</v>
      </c>
      <c r="T25" s="39">
        <f t="shared" si="19"/>
        <v>0</v>
      </c>
      <c r="U25" s="40">
        <f t="shared" si="20"/>
        <v>0</v>
      </c>
      <c r="V25" s="294" t="s">
        <v>269</v>
      </c>
      <c r="W25" s="294"/>
      <c r="X25" s="294"/>
      <c r="Y25" s="294"/>
    </row>
    <row r="26" spans="1:39" ht="17.25" customHeight="1">
      <c r="A26" s="31">
        <f>'PCD SALAS'!C23</f>
        <v>46297</v>
      </c>
      <c r="B26" s="82" t="str">
        <f>'PCD SALAS'!D23</f>
        <v>QJU2F48</v>
      </c>
      <c r="C26" s="33">
        <f>'PCD SALAS'!E23</f>
        <v>179817</v>
      </c>
      <c r="D26" s="34" t="str" cm="1">
        <f t="array" ref="D26">IFERROR(INDEX('03.11.20'!G:G,MATCH(1,(('03.11.20'!A:A=C26)*('03.11.20'!B:B="Saida Cdd/Fab        ")),0)),"")</f>
        <v/>
      </c>
      <c r="E26" s="34" t="str" cm="1">
        <f t="array" ref="E26">IFERROR(INDEX('03.11.20'!G:G,MATCH(1,(('03.11.20'!A:A=C26)*('03.11.20'!B:B="Entrada Cdd/Fab      ")),0)),"")</f>
        <v/>
      </c>
      <c r="F26" s="34" t="str" cm="1">
        <f t="array" ref="F26">IFERROR(INDEX('03.11.20'!G:G,MATCH(1,(('03.11.20'!A:A=C26)*('03.11.20'!B:B="PC_Fisica            ")),0)),"")</f>
        <v/>
      </c>
      <c r="G26" s="34" t="str" cm="1">
        <f t="array" ref="G26">IFERROR(INDEX('03.11.20'!G:G,MATCH(1,(('03.11.20'!A:A=C26)*('03.11.20'!B:B="PC_Financeira        ")),0)),"")</f>
        <v/>
      </c>
      <c r="H26" s="34" t="str">
        <f t="shared" si="15"/>
        <v/>
      </c>
      <c r="I26" s="34" t="str">
        <f t="shared" si="16"/>
        <v/>
      </c>
      <c r="J26" s="34" t="str">
        <f t="shared" si="17"/>
        <v/>
      </c>
      <c r="K26" s="34" t="str">
        <f t="shared" si="18"/>
        <v/>
      </c>
      <c r="L26" s="35">
        <f>VLOOKUP(C26,'03114902'!I:X,16,0)</f>
        <v>23</v>
      </c>
      <c r="M26" s="34">
        <f>VLOOKUP(C26,'03114902'!I:W,15,0)</f>
        <v>0.40763888888888888</v>
      </c>
      <c r="N26" s="81">
        <f>VLOOKUP(C26,'03114902'!I:Z,18,0)</f>
        <v>52.35</v>
      </c>
      <c r="O26" s="37" t="str">
        <f>VLOOKUP(C26,Tabela3[[Mapa]:[Motorista]],4,0)</f>
        <v>DEOCLIDES RODRIGUES SILVA DA CRUZ</v>
      </c>
      <c r="P26" s="38"/>
      <c r="Q26" s="38"/>
      <c r="S26" s="39">
        <f t="shared" si="19"/>
        <v>0</v>
      </c>
      <c r="T26" s="39">
        <f t="shared" si="19"/>
        <v>0</v>
      </c>
      <c r="U26" s="40">
        <f t="shared" si="20"/>
        <v>0</v>
      </c>
      <c r="V26" s="269" t="s">
        <v>248</v>
      </c>
      <c r="W26" s="269" t="s">
        <v>259</v>
      </c>
      <c r="X26" s="41" t="s">
        <v>260</v>
      </c>
      <c r="Y26" s="269" t="s">
        <v>261</v>
      </c>
      <c r="Z26" s="67"/>
    </row>
    <row r="27" spans="1:39" ht="17.25" customHeight="1">
      <c r="A27" s="31">
        <f>'PCD SALAS'!C24</f>
        <v>46297</v>
      </c>
      <c r="B27" s="82" t="str">
        <f>'PCD SALAS'!D24</f>
        <v>QJT3668</v>
      </c>
      <c r="C27" s="33">
        <f>'PCD SALAS'!E24</f>
        <v>179814</v>
      </c>
      <c r="D27" s="34" t="str" cm="1">
        <f t="array" ref="D27">IFERROR(INDEX('03.11.20'!G:G,MATCH(1,(('03.11.20'!A:A=C27)*('03.11.20'!B:B="Saida Cdd/Fab        ")),0)),"")</f>
        <v/>
      </c>
      <c r="E27" s="34" t="str" cm="1">
        <f t="array" ref="E27">IFERROR(INDEX('03.11.20'!G:G,MATCH(1,(('03.11.20'!A:A=C27)*('03.11.20'!B:B="Entrada Cdd/Fab      ")),0)),"")</f>
        <v/>
      </c>
      <c r="F27" s="34" t="str" cm="1">
        <f t="array" ref="F27">IFERROR(INDEX('03.11.20'!G:G,MATCH(1,(('03.11.20'!A:A=C27)*('03.11.20'!B:B="PC_Fisica            ")),0)),"")</f>
        <v/>
      </c>
      <c r="G27" s="34" t="str" cm="1">
        <f t="array" ref="G27">IFERROR(INDEX('03.11.20'!G:G,MATCH(1,(('03.11.20'!A:A=C27)*('03.11.20'!B:B="PC_Financeira        ")),0)),"")</f>
        <v/>
      </c>
      <c r="H27" s="34" t="str">
        <f t="shared" si="15"/>
        <v/>
      </c>
      <c r="I27" s="34" t="str">
        <f t="shared" si="16"/>
        <v/>
      </c>
      <c r="J27" s="34" t="str">
        <f t="shared" si="17"/>
        <v/>
      </c>
      <c r="K27" s="34" t="str">
        <f t="shared" si="18"/>
        <v/>
      </c>
      <c r="L27" s="35">
        <f>VLOOKUP(C27,'03114902'!I:X,16,0)</f>
        <v>12</v>
      </c>
      <c r="M27" s="34">
        <f>VLOOKUP(C27,'03114902'!I:W,15,0)</f>
        <v>0.39583333333333331</v>
      </c>
      <c r="N27" s="81">
        <f>VLOOKUP(C27,'03114902'!I:Z,18,0)</f>
        <v>80.94</v>
      </c>
      <c r="O27" s="37" t="str">
        <f>VLOOKUP(C27,Tabela3[[Mapa]:[Motorista]],4,0)</f>
        <v>FERNANDO ALVES DE OLIVEIRA</v>
      </c>
      <c r="P27" s="38"/>
      <c r="Q27" s="38"/>
      <c r="S27" s="39">
        <f t="shared" si="19"/>
        <v>0</v>
      </c>
      <c r="T27" s="39">
        <f t="shared" si="19"/>
        <v>0</v>
      </c>
      <c r="U27" s="40">
        <f t="shared" si="20"/>
        <v>0</v>
      </c>
      <c r="V27" s="297" t="e">
        <f>AVERAGE(H49)</f>
        <v>#DIV/0!</v>
      </c>
      <c r="W27" s="298">
        <f>COUNT(C49)</f>
        <v>1</v>
      </c>
      <c r="X27" s="298">
        <f>COUNTIF(U49, 2)</f>
        <v>0</v>
      </c>
      <c r="Y27" s="299">
        <f>X27/W27</f>
        <v>0</v>
      </c>
    </row>
    <row r="28" spans="1:39" ht="17.25" customHeight="1">
      <c r="A28" s="31">
        <f>'PCD SALAS'!C25</f>
        <v>46297</v>
      </c>
      <c r="B28" s="82" t="str">
        <f>'PCD SALAS'!D25</f>
        <v>UDI4C07</v>
      </c>
      <c r="C28" s="33">
        <f>'PCD SALAS'!E25</f>
        <v>179815</v>
      </c>
      <c r="D28" s="34" t="str" cm="1">
        <f t="array" ref="D28">IFERROR(INDEX('03.11.20'!G:G,MATCH(1,(('03.11.20'!A:A=C28)*('03.11.20'!B:B="Saida Cdd/Fab        ")),0)),"")</f>
        <v/>
      </c>
      <c r="E28" s="34" t="str" cm="1">
        <f t="array" ref="E28">IFERROR(INDEX('03.11.20'!G:G,MATCH(1,(('03.11.20'!A:A=C28)*('03.11.20'!B:B="Entrada Cdd/Fab      ")),0)),"")</f>
        <v/>
      </c>
      <c r="F28" s="34" t="str" cm="1">
        <f t="array" ref="F28">IFERROR(INDEX('03.11.20'!G:G,MATCH(1,(('03.11.20'!A:A=C28)*('03.11.20'!B:B="PC_Fisica            ")),0)),"")</f>
        <v/>
      </c>
      <c r="G28" s="34" t="str" cm="1">
        <f t="array" ref="G28">IFERROR(INDEX('03.11.20'!G:G,MATCH(1,(('03.11.20'!A:A=C28)*('03.11.20'!B:B="PC_Financeira        ")),0)),"")</f>
        <v/>
      </c>
      <c r="H28" s="34" t="str">
        <f t="shared" si="15"/>
        <v/>
      </c>
      <c r="I28" s="34" t="str">
        <f t="shared" si="16"/>
        <v/>
      </c>
      <c r="J28" s="34" t="str">
        <f t="shared" si="17"/>
        <v/>
      </c>
      <c r="K28" s="34" t="str">
        <f t="shared" si="18"/>
        <v/>
      </c>
      <c r="L28" s="35">
        <f>VLOOKUP(C28,'03114902'!I:X,16,0)</f>
        <v>16</v>
      </c>
      <c r="M28" s="34">
        <f>VLOOKUP(C28,'03114902'!I:W,15,0)</f>
        <v>0.43263888888888891</v>
      </c>
      <c r="N28" s="81">
        <f>VLOOKUP(C28,'03114902'!I:Z,18,0)</f>
        <v>73.75</v>
      </c>
      <c r="O28" s="37" t="str">
        <f>VLOOKUP(C28,Tabela3[[Mapa]:[Motorista]],4,0)</f>
        <v>ERIVALDO UMBERTO DOS SANTOS</v>
      </c>
      <c r="P28" s="38"/>
      <c r="Q28" s="38"/>
      <c r="S28" s="39">
        <f>IF(F28&lt;=$G$2,1,0)</f>
        <v>0</v>
      </c>
      <c r="T28" s="39">
        <f>IF(G28&lt;=$G$2,1,0)</f>
        <v>0</v>
      </c>
      <c r="U28" s="40">
        <f t="shared" si="20"/>
        <v>0</v>
      </c>
      <c r="V28" s="297"/>
      <c r="W28" s="298"/>
      <c r="X28" s="298"/>
      <c r="Y28" s="299"/>
    </row>
    <row r="29" spans="1:39" ht="17.25" customHeight="1">
      <c r="A29" s="31">
        <f>'PCD SALAS'!C26</f>
        <v>46297</v>
      </c>
      <c r="B29" s="82" t="str">
        <f>'PCD SALAS'!D26</f>
        <v>FCA8H37</v>
      </c>
      <c r="C29" s="33">
        <f>'PCD SALAS'!E26</f>
        <v>179811</v>
      </c>
      <c r="D29" s="34" t="str" cm="1">
        <f t="array" ref="D29">IFERROR(INDEX('03.11.20'!G:G,MATCH(1,(('03.11.20'!A:A=C29)*('03.11.20'!B:B="Saida Cdd/Fab        ")),0)),"")</f>
        <v/>
      </c>
      <c r="E29" s="34" t="str" cm="1">
        <f t="array" ref="E29">IFERROR(INDEX('03.11.20'!G:G,MATCH(1,(('03.11.20'!A:A=C29)*('03.11.20'!B:B="Entrada Cdd/Fab      ")),0)),"")</f>
        <v/>
      </c>
      <c r="F29" s="34" t="str" cm="1">
        <f t="array" ref="F29">IFERROR(INDEX('03.11.20'!G:G,MATCH(1,(('03.11.20'!A:A=C29)*('03.11.20'!B:B="PC_Fisica            ")),0)),"")</f>
        <v/>
      </c>
      <c r="G29" s="34" t="str" cm="1">
        <f t="array" ref="G29">IFERROR(INDEX('03.11.20'!G:G,MATCH(1,(('03.11.20'!A:A=C29)*('03.11.20'!B:B="PC_Financeira        ")),0)),"")</f>
        <v/>
      </c>
      <c r="H29" s="34" t="str">
        <f t="shared" si="15"/>
        <v/>
      </c>
      <c r="I29" s="34" t="str">
        <f t="shared" si="16"/>
        <v/>
      </c>
      <c r="J29" s="34" t="str">
        <f t="shared" si="17"/>
        <v/>
      </c>
      <c r="K29" s="34" t="str">
        <f t="shared" si="18"/>
        <v/>
      </c>
      <c r="L29" s="35">
        <f>VLOOKUP(C29,'03114902'!I:X,16,0)</f>
        <v>14</v>
      </c>
      <c r="M29" s="34">
        <f>VLOOKUP(C29,'03114902'!I:W,15,0)</f>
        <v>0.41805555555555557</v>
      </c>
      <c r="N29" s="81">
        <f>VLOOKUP(C29,'03114902'!I:Z,18,0)</f>
        <v>79.52</v>
      </c>
      <c r="O29" s="37" t="str">
        <f>VLOOKUP(C29,Tabela3[[Mapa]:[Motorista]],4,0)</f>
        <v>KEBERSON PAULO TROIAN</v>
      </c>
      <c r="P29" s="38"/>
      <c r="Q29" s="38"/>
      <c r="S29" s="39">
        <f t="shared" si="19"/>
        <v>0</v>
      </c>
      <c r="T29" s="39">
        <f t="shared" si="19"/>
        <v>0</v>
      </c>
      <c r="U29" s="40">
        <f t="shared" si="20"/>
        <v>0</v>
      </c>
      <c r="V29" s="294" t="s">
        <v>270</v>
      </c>
      <c r="W29" s="294"/>
      <c r="X29" s="294"/>
      <c r="Y29" s="294"/>
    </row>
    <row r="30" spans="1:39" ht="15.75">
      <c r="A30" s="31">
        <f>'PCD SALAS'!C27</f>
        <v>46297</v>
      </c>
      <c r="B30" s="82" t="str">
        <f>'PCD SALAS'!D27</f>
        <v>GKF6739</v>
      </c>
      <c r="C30" s="33">
        <f>'PCD SALAS'!E27</f>
        <v>179816</v>
      </c>
      <c r="D30" s="34" t="str" cm="1">
        <f t="array" ref="D30">IFERROR(INDEX('03.11.20'!G:G,MATCH(1,(('03.11.20'!A:A=C30)*('03.11.20'!B:B="Saida Cdd/Fab        ")),0)),"")</f>
        <v/>
      </c>
      <c r="E30" s="34" t="str" cm="1">
        <f t="array" ref="E30">IFERROR(INDEX('03.11.20'!G:G,MATCH(1,(('03.11.20'!A:A=C30)*('03.11.20'!B:B="Entrada Cdd/Fab      ")),0)),"")</f>
        <v/>
      </c>
      <c r="F30" s="34" t="str" cm="1">
        <f t="array" ref="F30">IFERROR(INDEX('03.11.20'!G:G,MATCH(1,(('03.11.20'!A:A=C30)*('03.11.20'!B:B="PC_Fisica            ")),0)),"")</f>
        <v/>
      </c>
      <c r="G30" s="34" t="str" cm="1">
        <f t="array" ref="G30">IFERROR(INDEX('03.11.20'!G:G,MATCH(1,(('03.11.20'!A:A=C30)*('03.11.20'!B:B="PC_Financeira        ")),0)),"")</f>
        <v/>
      </c>
      <c r="H30" s="34" t="str">
        <f t="shared" si="15"/>
        <v/>
      </c>
      <c r="I30" s="34" t="str">
        <f t="shared" si="16"/>
        <v/>
      </c>
      <c r="J30" s="34" t="str">
        <f t="shared" si="17"/>
        <v/>
      </c>
      <c r="K30" s="34" t="str">
        <f t="shared" si="18"/>
        <v/>
      </c>
      <c r="L30" s="35">
        <f>VLOOKUP(C30,'03114902'!I:X,16,0)</f>
        <v>18</v>
      </c>
      <c r="M30" s="34">
        <f>VLOOKUP(C30,'03114902'!I:W,15,0)</f>
        <v>0.43611111111111112</v>
      </c>
      <c r="N30" s="81">
        <f>VLOOKUP(C30,'03114902'!I:Z,18,0)</f>
        <v>89.48</v>
      </c>
      <c r="O30" s="37" t="str">
        <f>VLOOKUP(C30,Tabela3[[Mapa]:[Motorista]],4,0)</f>
        <v>FELIPE MORAIS DE SOUZA</v>
      </c>
      <c r="P30" s="38"/>
      <c r="Q30" s="38"/>
      <c r="S30" s="39">
        <f t="shared" si="19"/>
        <v>0</v>
      </c>
      <c r="T30" s="39">
        <f t="shared" si="19"/>
        <v>0</v>
      </c>
      <c r="U30" s="40">
        <f t="shared" si="20"/>
        <v>0</v>
      </c>
      <c r="V30" s="269" t="s">
        <v>248</v>
      </c>
      <c r="W30" s="269" t="s">
        <v>259</v>
      </c>
      <c r="X30" s="41" t="s">
        <v>260</v>
      </c>
      <c r="Y30" s="269" t="s">
        <v>261</v>
      </c>
    </row>
    <row r="31" spans="1:39" ht="17.25" customHeight="1">
      <c r="A31" s="31">
        <f>'PCD SALAS'!C28</f>
        <v>46297</v>
      </c>
      <c r="B31" s="82" t="str">
        <f>'PCD SALAS'!D28</f>
        <v>QJU2248</v>
      </c>
      <c r="C31" s="33">
        <f>'PCD SALAS'!E28</f>
        <v>179819</v>
      </c>
      <c r="D31" s="34" t="str" cm="1">
        <f t="array" ref="D31">IFERROR(INDEX('03.11.20'!G:G,MATCH(1,(('03.11.20'!A:A=C31)*('03.11.20'!B:B="Saida Cdd/Fab        ")),0)),"")</f>
        <v/>
      </c>
      <c r="E31" s="34" t="str" cm="1">
        <f t="array" ref="E31">IFERROR(INDEX('03.11.20'!G:G,MATCH(1,(('03.11.20'!A:A=C31)*('03.11.20'!B:B="Entrada Cdd/Fab      ")),0)),"")</f>
        <v/>
      </c>
      <c r="F31" s="34" t="str" cm="1">
        <f t="array" ref="F31">IFERROR(INDEX('03.11.20'!G:G,MATCH(1,(('03.11.20'!A:A=C31)*('03.11.20'!B:B="PC_Fisica            ")),0)),"")</f>
        <v/>
      </c>
      <c r="G31" s="34" t="str" cm="1">
        <f t="array" ref="G31">IFERROR(INDEX('03.11.20'!G:G,MATCH(1,(('03.11.20'!A:A=C31)*('03.11.20'!B:B="PC_Financeira        ")),0)),"")</f>
        <v/>
      </c>
      <c r="H31" s="34" t="str">
        <f t="shared" si="15"/>
        <v/>
      </c>
      <c r="I31" s="34" t="str">
        <f t="shared" si="16"/>
        <v/>
      </c>
      <c r="J31" s="34" t="str">
        <f t="shared" si="17"/>
        <v/>
      </c>
      <c r="K31" s="34" t="str">
        <f t="shared" si="18"/>
        <v/>
      </c>
      <c r="L31" s="35">
        <f>VLOOKUP(C31,'03114902'!I:X,16,0)</f>
        <v>21</v>
      </c>
      <c r="M31" s="34">
        <f>VLOOKUP(C31,'03114902'!I:W,15,0)</f>
        <v>0.42499999999999999</v>
      </c>
      <c r="N31" s="81">
        <f>VLOOKUP(C31,'03114902'!I:Z,18,0)</f>
        <v>51.56</v>
      </c>
      <c r="O31" s="37" t="str">
        <f>VLOOKUP(C31,Tabela3[[Mapa]:[Motorista]],4,0)</f>
        <v xml:space="preserve">DIEGO SANTIN </v>
      </c>
      <c r="P31" s="38"/>
      <c r="Q31" s="38"/>
      <c r="S31" s="39">
        <f t="shared" si="19"/>
        <v>0</v>
      </c>
      <c r="T31" s="39">
        <f t="shared" si="19"/>
        <v>0</v>
      </c>
      <c r="U31" s="40">
        <f t="shared" si="20"/>
        <v>0</v>
      </c>
      <c r="V31" s="297" t="e">
        <f>AVERAGE(H55:H74)</f>
        <v>#DIV/0!</v>
      </c>
      <c r="W31" s="298">
        <f>COUNT(C55:C74)</f>
        <v>6</v>
      </c>
      <c r="X31" s="298">
        <f>COUNTIF(U55:U74, 2)</f>
        <v>0</v>
      </c>
      <c r="Y31" s="299">
        <f>X31/W31</f>
        <v>0</v>
      </c>
      <c r="Z31" s="67"/>
      <c r="AJ31" s="6"/>
      <c r="AK31" s="16"/>
      <c r="AL31" s="6"/>
      <c r="AM31" s="16"/>
    </row>
    <row r="32" spans="1:39" ht="15.75">
      <c r="A32" s="31" t="str">
        <f>'PCD SALAS'!C29</f>
        <v/>
      </c>
      <c r="B32" s="82" t="str">
        <f>'PCD SALAS'!D29</f>
        <v/>
      </c>
      <c r="C32" s="33" t="str">
        <f>'PCD SALAS'!E29</f>
        <v/>
      </c>
      <c r="D32" s="34" t="str" cm="1">
        <f t="array" ref="D32">IFERROR(INDEX('03.11.20'!G:G,MATCH(1,(('03.11.20'!A:A=C32)*('03.11.20'!B:B="Saida Cdd/Fab        ")),0)),"")</f>
        <v/>
      </c>
      <c r="E32" s="34" t="str" cm="1">
        <f t="array" ref="E32">IFERROR(INDEX('03.11.20'!G:G,MATCH(1,(('03.11.20'!A:A=C32)*('03.11.20'!B:B="Entrada Cdd/Fab      ")),0)),"")</f>
        <v/>
      </c>
      <c r="F32" s="34" t="str" cm="1">
        <f t="array" ref="F32">IFERROR(INDEX('03.11.20'!G:G,MATCH(1,(('03.11.20'!A:A=C32)*('03.11.20'!B:B="PC_Fisica            ")),0)),"")</f>
        <v/>
      </c>
      <c r="G32" s="34" t="str" cm="1">
        <f t="array" ref="G32">IFERROR(INDEX('03.11.20'!G:G,MATCH(1,(('03.11.20'!A:A=C32)*('03.11.20'!B:B="PC_Financeira        ")),0)),"")</f>
        <v/>
      </c>
      <c r="H32" s="34" t="str">
        <f t="shared" si="15"/>
        <v/>
      </c>
      <c r="I32" s="34" t="str">
        <f t="shared" si="16"/>
        <v/>
      </c>
      <c r="J32" s="34" t="str">
        <f t="shared" si="17"/>
        <v/>
      </c>
      <c r="K32" s="34" t="str">
        <f t="shared" si="18"/>
        <v/>
      </c>
      <c r="L32" s="35" t="e">
        <f>VLOOKUP(C32,'03114902'!I:X,16,0)</f>
        <v>#N/A</v>
      </c>
      <c r="M32" s="34" t="e">
        <f>VLOOKUP(C32,'03114902'!I:W,15,0)</f>
        <v>#N/A</v>
      </c>
      <c r="N32" s="81" t="e">
        <f>VLOOKUP(C32,'03114902'!I:Z,18,0)</f>
        <v>#N/A</v>
      </c>
      <c r="O32" s="37" t="e">
        <f>VLOOKUP(C32,Tabela3[[Mapa]:[Motorista]],4,0)</f>
        <v>#N/A</v>
      </c>
      <c r="P32" s="38"/>
      <c r="Q32" s="38"/>
      <c r="S32" s="39">
        <f t="shared" si="19"/>
        <v>0</v>
      </c>
      <c r="T32" s="39">
        <f t="shared" si="19"/>
        <v>0</v>
      </c>
      <c r="U32" s="40">
        <f t="shared" si="20"/>
        <v>0</v>
      </c>
      <c r="V32" s="297"/>
      <c r="W32" s="298"/>
      <c r="X32" s="298"/>
      <c r="Y32" s="299"/>
    </row>
    <row r="33" spans="1:39" ht="17.25" customHeight="1">
      <c r="A33" s="31" t="str">
        <f>'PCD SALAS'!C30</f>
        <v/>
      </c>
      <c r="B33" s="82" t="str">
        <f>'PCD SALAS'!D30</f>
        <v/>
      </c>
      <c r="C33" s="33" t="str">
        <f>'PCD SALAS'!E30</f>
        <v/>
      </c>
      <c r="D33" s="34" t="str" cm="1">
        <f t="array" ref="D33">IFERROR(INDEX('03.11.20'!G:G,MATCH(1,(('03.11.20'!A:A=C33)*('03.11.20'!B:B="Saida Cdd/Fab        ")),0)),"")</f>
        <v/>
      </c>
      <c r="E33" s="34" t="str" cm="1">
        <f t="array" ref="E33">IFERROR(INDEX('03.11.20'!G:G,MATCH(1,(('03.11.20'!A:A=C33)*('03.11.20'!B:B="Entrada Cdd/Fab      ")),0)),"")</f>
        <v/>
      </c>
      <c r="F33" s="34" t="str" cm="1">
        <f t="array" ref="F33">IFERROR(INDEX('03.11.20'!G:G,MATCH(1,(('03.11.20'!A:A=C33)*('03.11.20'!B:B="PC_Fisica            ")),0)),"")</f>
        <v/>
      </c>
      <c r="G33" s="34" t="str" cm="1">
        <f t="array" ref="G33">IFERROR(INDEX('03.11.20'!G:G,MATCH(1,(('03.11.20'!A:A=C33)*('03.11.20'!B:B="PC_Financeira        ")),0)),"")</f>
        <v/>
      </c>
      <c r="H33" s="34" t="str">
        <f t="shared" si="15"/>
        <v/>
      </c>
      <c r="I33" s="34" t="str">
        <f t="shared" si="16"/>
        <v/>
      </c>
      <c r="J33" s="34" t="str">
        <f t="shared" si="17"/>
        <v/>
      </c>
      <c r="K33" s="34" t="str">
        <f t="shared" si="18"/>
        <v/>
      </c>
      <c r="L33" s="35" t="e">
        <f>VLOOKUP(C33,'03114902'!I:X,16,0)</f>
        <v>#N/A</v>
      </c>
      <c r="M33" s="34" t="e">
        <f>VLOOKUP(C33,'03114902'!I:W,15,0)</f>
        <v>#N/A</v>
      </c>
      <c r="N33" s="81" t="e">
        <f>VLOOKUP(C33,'03114902'!I:Z,18,0)</f>
        <v>#N/A</v>
      </c>
      <c r="O33" s="37" t="e">
        <f>VLOOKUP(C33,Tabela3[[Mapa]:[Motorista]],4,0)</f>
        <v>#N/A</v>
      </c>
      <c r="P33" s="38"/>
      <c r="Q33" s="38"/>
      <c r="S33" s="39">
        <f t="shared" si="19"/>
        <v>0</v>
      </c>
      <c r="T33" s="39">
        <f t="shared" si="19"/>
        <v>0</v>
      </c>
      <c r="U33" s="40">
        <f t="shared" si="20"/>
        <v>0</v>
      </c>
    </row>
    <row r="34" spans="1:39" ht="15.75">
      <c r="A34" s="31" t="str">
        <f>'PCD SALAS'!C31</f>
        <v/>
      </c>
      <c r="B34" s="82" t="str">
        <f>'PCD SALAS'!D31</f>
        <v/>
      </c>
      <c r="C34" s="33" t="str">
        <f>'PCD SALAS'!E31</f>
        <v/>
      </c>
      <c r="D34" s="34" t="str" cm="1">
        <f t="array" ref="D34">IFERROR(INDEX('03.11.20'!G:G,MATCH(1,(('03.11.20'!A:A=C34)*('03.11.20'!B:B="Saida Cdd/Fab        ")),0)),"")</f>
        <v/>
      </c>
      <c r="E34" s="34" t="str" cm="1">
        <f t="array" ref="E34">IFERROR(INDEX('03.11.20'!G:G,MATCH(1,(('03.11.20'!A:A=C34)*('03.11.20'!B:B="Entrada Cdd/Fab      ")),0)),"")</f>
        <v/>
      </c>
      <c r="F34" s="34" t="str" cm="1">
        <f t="array" ref="F34">IFERROR(INDEX('03.11.20'!G:G,MATCH(1,(('03.11.20'!A:A=C34)*('03.11.20'!B:B="PC_Fisica            ")),0)),"")</f>
        <v/>
      </c>
      <c r="G34" s="34" t="str" cm="1">
        <f t="array" ref="G34">IFERROR(INDEX('03.11.20'!G:G,MATCH(1,(('03.11.20'!A:A=C34)*('03.11.20'!B:B="PC_Financeira        ")),0)),"")</f>
        <v/>
      </c>
      <c r="H34" s="34" t="str">
        <f t="shared" si="15"/>
        <v/>
      </c>
      <c r="I34" s="34" t="str">
        <f t="shared" si="16"/>
        <v/>
      </c>
      <c r="J34" s="34" t="str">
        <f t="shared" si="17"/>
        <v/>
      </c>
      <c r="K34" s="34" t="str">
        <f t="shared" si="18"/>
        <v/>
      </c>
      <c r="L34" s="35" t="e">
        <f>VLOOKUP(C34,'03114902'!I:X,16,0)</f>
        <v>#N/A</v>
      </c>
      <c r="M34" s="34" t="e">
        <f>VLOOKUP(C34,'03114902'!I:W,15,0)</f>
        <v>#N/A</v>
      </c>
      <c r="N34" s="81" t="e">
        <f>VLOOKUP(C34,'03114902'!I:Z,18,0)</f>
        <v>#N/A</v>
      </c>
      <c r="O34" s="37" t="e">
        <f>VLOOKUP(C34,Tabela3[[Mapa]:[Motorista]],4,0)</f>
        <v>#N/A</v>
      </c>
      <c r="P34" s="38"/>
      <c r="Q34" s="38"/>
      <c r="S34" s="39">
        <f t="shared" si="19"/>
        <v>0</v>
      </c>
      <c r="T34" s="39">
        <f t="shared" si="19"/>
        <v>0</v>
      </c>
      <c r="U34" s="40">
        <f t="shared" si="20"/>
        <v>0</v>
      </c>
      <c r="V34" s="313" t="s">
        <v>271</v>
      </c>
      <c r="W34" s="314"/>
      <c r="X34" s="314"/>
      <c r="Y34" s="315"/>
    </row>
    <row r="35" spans="1:39" ht="15.75">
      <c r="A35" s="31" t="str">
        <f>'PCD SALAS'!C32</f>
        <v/>
      </c>
      <c r="B35" s="82" t="str">
        <f>'PCD SALAS'!D32</f>
        <v/>
      </c>
      <c r="C35" s="33" t="str">
        <f>'PCD SALAS'!E32</f>
        <v/>
      </c>
      <c r="D35" s="34" t="str" cm="1">
        <f t="array" ref="D35">IFERROR(INDEX('03.11.20'!G:G,MATCH(1,(('03.11.20'!A:A=C35)*('03.11.20'!B:B="Saida Cdd/Fab        ")),0)),"")</f>
        <v/>
      </c>
      <c r="E35" s="34" t="str" cm="1">
        <f t="array" ref="E35">IFERROR(INDEX('03.11.20'!G:G,MATCH(1,(('03.11.20'!A:A=C35)*('03.11.20'!B:B="Entrada Cdd/Fab      ")),0)),"")</f>
        <v/>
      </c>
      <c r="F35" s="34" t="str" cm="1">
        <f t="array" ref="F35">IFERROR(INDEX('03.11.20'!G:G,MATCH(1,(('03.11.20'!A:A=C35)*('03.11.20'!B:B="PC_Fisica            ")),0)),"")</f>
        <v/>
      </c>
      <c r="G35" s="34" t="str" cm="1">
        <f t="array" ref="G35">IFERROR(INDEX('03.11.20'!G:G,MATCH(1,(('03.11.20'!A:A=C35)*('03.11.20'!B:B="PC_Financeira        ")),0)),"")</f>
        <v/>
      </c>
      <c r="H35" s="34" t="str">
        <f t="shared" si="15"/>
        <v/>
      </c>
      <c r="I35" s="34" t="str">
        <f t="shared" si="16"/>
        <v/>
      </c>
      <c r="J35" s="34" t="str">
        <f t="shared" si="17"/>
        <v/>
      </c>
      <c r="K35" s="34" t="str">
        <f t="shared" si="18"/>
        <v/>
      </c>
      <c r="L35" s="35" t="e">
        <f>VLOOKUP(C35,'03114902'!I:X,16,0)</f>
        <v>#N/A</v>
      </c>
      <c r="M35" s="34" t="e">
        <f>VLOOKUP(C35,'03114902'!I:W,15,0)</f>
        <v>#N/A</v>
      </c>
      <c r="N35" s="81" t="e">
        <f>VLOOKUP(C35,'03114902'!I:Z,18,0)</f>
        <v>#N/A</v>
      </c>
      <c r="O35" s="37" t="e">
        <f>VLOOKUP(C35,Tabela3[[Mapa]:[Motorista]],4,0)</f>
        <v>#N/A</v>
      </c>
      <c r="P35" s="38"/>
      <c r="Q35" s="38"/>
      <c r="S35" s="39">
        <f t="shared" si="19"/>
        <v>0</v>
      </c>
      <c r="T35" s="39">
        <f t="shared" si="19"/>
        <v>0</v>
      </c>
      <c r="U35" s="40">
        <f t="shared" si="20"/>
        <v>0</v>
      </c>
      <c r="V35" s="316"/>
      <c r="W35" s="317"/>
      <c r="X35" s="317"/>
      <c r="Y35" s="318"/>
    </row>
    <row r="36" spans="1:39" ht="17.25" customHeight="1">
      <c r="A36" s="31" t="str">
        <f>'PCD SALAS'!C33</f>
        <v/>
      </c>
      <c r="B36" s="82" t="str">
        <f>'PCD SALAS'!D33</f>
        <v/>
      </c>
      <c r="C36" s="33" t="str">
        <f>'PCD SALAS'!E33</f>
        <v/>
      </c>
      <c r="D36" s="34" t="str" cm="1">
        <f t="array" ref="D36">IFERROR(INDEX('03.11.20'!G:G,MATCH(1,(('03.11.20'!A:A=C36)*('03.11.20'!B:B="Saida Cdd/Fab        ")),0)),"")</f>
        <v/>
      </c>
      <c r="E36" s="34" t="str" cm="1">
        <f t="array" ref="E36">IFERROR(INDEX('03.11.20'!G:G,MATCH(1,(('03.11.20'!A:A=C36)*('03.11.20'!B:B="Entrada Cdd/Fab      ")),0)),"")</f>
        <v/>
      </c>
      <c r="F36" s="34" t="str" cm="1">
        <f t="array" ref="F36">IFERROR(INDEX('03.11.20'!G:G,MATCH(1,(('03.11.20'!A:A=C36)*('03.11.20'!B:B="PC_Fisica            ")),0)),"")</f>
        <v/>
      </c>
      <c r="G36" s="34" t="str" cm="1">
        <f t="array" ref="G36">IFERROR(INDEX('03.11.20'!G:G,MATCH(1,(('03.11.20'!A:A=C36)*('03.11.20'!B:B="PC_Financeira        ")),0)),"")</f>
        <v/>
      </c>
      <c r="H36" s="34" t="str">
        <f t="shared" si="15"/>
        <v/>
      </c>
      <c r="I36" s="34" t="str">
        <f t="shared" si="16"/>
        <v/>
      </c>
      <c r="J36" s="34" t="str">
        <f t="shared" si="17"/>
        <v/>
      </c>
      <c r="K36" s="34" t="str">
        <f t="shared" si="18"/>
        <v/>
      </c>
      <c r="L36" s="35" t="e">
        <f>VLOOKUP(C36,'03114902'!I:X,16,0)</f>
        <v>#N/A</v>
      </c>
      <c r="M36" s="34" t="e">
        <f>VLOOKUP(C36,'03114902'!I:W,15,0)</f>
        <v>#N/A</v>
      </c>
      <c r="N36" s="81" t="e">
        <f>VLOOKUP(C36,'03114902'!I:Z,18,0)</f>
        <v>#N/A</v>
      </c>
      <c r="O36" s="37" t="e">
        <f>VLOOKUP(C36,Tabela3[[Mapa]:[Motorista]],4,0)</f>
        <v>#N/A</v>
      </c>
      <c r="P36" s="38"/>
      <c r="Q36" s="38"/>
      <c r="S36" s="39">
        <f t="shared" si="19"/>
        <v>0</v>
      </c>
      <c r="T36" s="39">
        <f t="shared" si="19"/>
        <v>0</v>
      </c>
      <c r="U36" s="40">
        <f t="shared" si="20"/>
        <v>0</v>
      </c>
      <c r="V36" s="313" t="s">
        <v>272</v>
      </c>
      <c r="W36" s="314"/>
      <c r="X36" s="294" t="s">
        <v>168</v>
      </c>
      <c r="Y36" s="294"/>
    </row>
    <row r="37" spans="1:39" ht="17.25" customHeight="1">
      <c r="A37" s="31" t="e">
        <f>'PCD SALAS'!#REF!</f>
        <v>#REF!</v>
      </c>
      <c r="B37" s="82" t="e">
        <f>'PCD SALAS'!#REF!</f>
        <v>#REF!</v>
      </c>
      <c r="C37" s="33" t="e">
        <f>'PCD SALAS'!#REF!</f>
        <v>#REF!</v>
      </c>
      <c r="D37" s="34" t="str" cm="1">
        <f t="array" ref="D37">IFERROR(INDEX('03.11.20'!G:G,MATCH(1,(('03.11.20'!A:A=C37)*('03.11.20'!B:B="Saida Cdd/Fab        ")),0)),"")</f>
        <v/>
      </c>
      <c r="E37" s="34" t="str" cm="1">
        <f t="array" ref="E37">IFERROR(INDEX('03.11.20'!G:G,MATCH(1,(('03.11.20'!A:A=C37)*('03.11.20'!B:B="Entrada Cdd/Fab      ")),0)),"")</f>
        <v/>
      </c>
      <c r="F37" s="34" t="str" cm="1">
        <f t="array" ref="F37">IFERROR(INDEX('03.11.20'!G:G,MATCH(1,(('03.11.20'!A:A=C37)*('03.11.20'!B:B="PC_Fisica            ")),0)),"")</f>
        <v/>
      </c>
      <c r="G37" s="34" t="str" cm="1">
        <f t="array" ref="G37">IFERROR(INDEX('03.11.20'!G:G,MATCH(1,(('03.11.20'!A:A=C37)*('03.11.20'!B:B="PC_Financeira        ")),0)),"")</f>
        <v/>
      </c>
      <c r="H37" s="34" t="str">
        <f t="shared" si="15"/>
        <v/>
      </c>
      <c r="I37" s="34" t="str">
        <f t="shared" si="16"/>
        <v/>
      </c>
      <c r="J37" s="34" t="str">
        <f t="shared" si="17"/>
        <v/>
      </c>
      <c r="K37" s="34" t="str">
        <f t="shared" si="18"/>
        <v/>
      </c>
      <c r="L37" s="35" t="e">
        <f>VLOOKUP(C37,'03114902'!I:X,16,0)</f>
        <v>#REF!</v>
      </c>
      <c r="M37" s="34" t="e">
        <f>VLOOKUP(C37,'03114902'!I:W,15,0)</f>
        <v>#REF!</v>
      </c>
      <c r="N37" s="81" t="e">
        <f>VLOOKUP(C37,'03114902'!I:Z,18,0)</f>
        <v>#REF!</v>
      </c>
      <c r="O37" s="37" t="e">
        <f>VLOOKUP(C37,Tabela3[[Mapa]:[Motorista]],4,0)</f>
        <v>#REF!</v>
      </c>
      <c r="P37" s="38"/>
      <c r="Q37" s="38"/>
      <c r="S37" s="39">
        <f t="shared" si="19"/>
        <v>0</v>
      </c>
      <c r="T37" s="39">
        <f t="shared" si="19"/>
        <v>0</v>
      </c>
      <c r="U37" s="40">
        <f t="shared" si="20"/>
        <v>0</v>
      </c>
      <c r="V37" s="269" t="s">
        <v>273</v>
      </c>
      <c r="W37" s="269" t="s">
        <v>274</v>
      </c>
      <c r="X37" s="269" t="s">
        <v>273</v>
      </c>
      <c r="Y37" s="269" t="s">
        <v>274</v>
      </c>
    </row>
    <row r="38" spans="1:39" ht="17.25" customHeight="1">
      <c r="A38" s="31" t="e">
        <f>'PCD SALAS'!#REF!</f>
        <v>#REF!</v>
      </c>
      <c r="B38" s="82" t="e">
        <f>'PCD SALAS'!#REF!</f>
        <v>#REF!</v>
      </c>
      <c r="C38" s="33" t="e">
        <f>'PCD SALAS'!#REF!</f>
        <v>#REF!</v>
      </c>
      <c r="D38" s="34" t="str" cm="1">
        <f t="array" ref="D38">IFERROR(INDEX('03.11.20'!G:G,MATCH(1,(('03.11.20'!A:A=C38)*('03.11.20'!B:B="Saida Cdd/Fab        ")),0)),"")</f>
        <v/>
      </c>
      <c r="E38" s="34" t="str" cm="1">
        <f t="array" ref="E38">IFERROR(INDEX('03.11.20'!G:G,MATCH(1,(('03.11.20'!A:A=C38)*('03.11.20'!B:B="Entrada Cdd/Fab      ")),0)),"")</f>
        <v/>
      </c>
      <c r="F38" s="34" t="str" cm="1">
        <f t="array" ref="F38">IFERROR(INDEX('03.11.20'!G:G,MATCH(1,(('03.11.20'!A:A=C38)*('03.11.20'!B:B="PC_Fisica            ")),0)),"")</f>
        <v/>
      </c>
      <c r="G38" s="34" t="str" cm="1">
        <f t="array" ref="G38">IFERROR(INDEX('03.11.20'!G:G,MATCH(1,(('03.11.20'!A:A=C38)*('03.11.20'!B:B="PC_Financeira        ")),0)),"")</f>
        <v/>
      </c>
      <c r="H38" s="34" t="str">
        <f t="shared" si="15"/>
        <v/>
      </c>
      <c r="I38" s="34" t="str">
        <f t="shared" si="16"/>
        <v/>
      </c>
      <c r="J38" s="34" t="str">
        <f t="shared" si="17"/>
        <v/>
      </c>
      <c r="K38" s="34" t="str">
        <f t="shared" si="18"/>
        <v/>
      </c>
      <c r="L38" s="35" t="e">
        <f>VLOOKUP(C38,'03114902'!I:X,16,0)</f>
        <v>#REF!</v>
      </c>
      <c r="M38" s="34" t="e">
        <f>VLOOKUP(C38,'03114902'!I:W,15,0)</f>
        <v>#REF!</v>
      </c>
      <c r="N38" s="81" t="e">
        <f>VLOOKUP(C38,'03114902'!I:Z,18,0)</f>
        <v>#REF!</v>
      </c>
      <c r="O38" s="37" t="e">
        <f>VLOOKUP(C38,Tabela3[[Mapa]:[Motorista]],4,0)</f>
        <v>#REF!</v>
      </c>
      <c r="P38" s="38"/>
      <c r="Q38" s="38"/>
      <c r="S38" s="39">
        <f t="shared" ref="S38:T38" si="21">IF(F38&lt;=$G$2,1,0)</f>
        <v>0</v>
      </c>
      <c r="T38" s="39">
        <f t="shared" si="21"/>
        <v>0</v>
      </c>
      <c r="U38" s="40">
        <f t="shared" ref="U38" si="22">SUM(S38:T38)</f>
        <v>0</v>
      </c>
      <c r="V38" s="319" t="e">
        <f>AVERAGE('PCD SALAS'!S19:S33,'PCD SALAS'!S4:S15,'PCD SALAS'!#REF!,'PCD SALAS'!S44)</f>
        <v>#REF!</v>
      </c>
      <c r="W38" s="319">
        <f>AVERAGE('PCD SALAS'!Q4:Q15,'PCD SALAS'!Q19:Q33,'PCD SALAS'!Q44)</f>
        <v>0.66495294117647052</v>
      </c>
      <c r="X38" s="298" t="e">
        <f>AVERAGE('PCD SALAS'!S37:S40)</f>
        <v>#DIV/0!</v>
      </c>
      <c r="Y38" s="298" t="e">
        <f>AVERAGE('PCD SALAS'!Q37:Q40)</f>
        <v>#DIV/0!</v>
      </c>
    </row>
    <row r="39" spans="1:39" ht="17.25" customHeight="1">
      <c r="A39" s="31" t="e">
        <f>'PCD SALAS'!#REF!</f>
        <v>#REF!</v>
      </c>
      <c r="B39" s="82" t="e">
        <f>'PCD SALAS'!#REF!</f>
        <v>#REF!</v>
      </c>
      <c r="C39" s="33" t="e">
        <f>'PCD SALAS'!#REF!</f>
        <v>#REF!</v>
      </c>
      <c r="D39" s="34" t="str" cm="1">
        <f t="array" ref="D39">IFERROR(INDEX('03.11.20'!G:G,MATCH(1,(('03.11.20'!A:A=C39)*('03.11.20'!B:B="Saida Cdd/Fab        ")),0)),"")</f>
        <v/>
      </c>
      <c r="E39" s="34" t="str" cm="1">
        <f t="array" ref="E39">IFERROR(INDEX('03.11.20'!G:G,MATCH(1,(('03.11.20'!A:A=C39)*('03.11.20'!B:B="Entrada Cdd/Fab      ")),0)),"")</f>
        <v/>
      </c>
      <c r="F39" s="34" t="str" cm="1">
        <f t="array" ref="F39">IFERROR(INDEX('03.11.20'!G:G,MATCH(1,(('03.11.20'!A:A=C39)*('03.11.20'!B:B="PC_Fisica            ")),0)),"")</f>
        <v/>
      </c>
      <c r="G39" s="34" t="str" cm="1">
        <f t="array" ref="G39">IFERROR(INDEX('03.11.20'!G:G,MATCH(1,(('03.11.20'!A:A=C39)*('03.11.20'!B:B="PC_Financeira        ")),0)),"")</f>
        <v/>
      </c>
      <c r="H39" s="34" t="str">
        <f t="shared" ref="H39" si="23">IF(D39&lt;H$2, "00:30:00", IFERROR(D39-H$2, ""))</f>
        <v/>
      </c>
      <c r="I39" s="34" t="str">
        <f t="shared" ref="I39" si="24">IFERROR(IF(SUM(H39,K39,J39)=TIME(0,0,0),"",SUM(H39,K39,J39)),"")</f>
        <v/>
      </c>
      <c r="J39" s="34" t="str">
        <f t="shared" ref="J39" si="25">IFERROR(IF(F39 &gt; G39, F39, G39) - E39, "")</f>
        <v/>
      </c>
      <c r="K39" s="34" t="str">
        <f t="shared" ref="K39" si="26">IFERROR(E39-D39,"")</f>
        <v/>
      </c>
      <c r="L39" s="35" t="e">
        <f>VLOOKUP(C39,'03114902'!I:X,16,0)</f>
        <v>#REF!</v>
      </c>
      <c r="M39" s="34" t="e">
        <f>VLOOKUP(C39,'03114902'!I:W,15,0)</f>
        <v>#REF!</v>
      </c>
      <c r="N39" s="81" t="e">
        <f>VLOOKUP(C39,'03114902'!I:Z,18,0)</f>
        <v>#REF!</v>
      </c>
      <c r="O39" s="37" t="e">
        <f>VLOOKUP(C39,Tabela3[[Mapa]:[Motorista]],4,0)</f>
        <v>#REF!</v>
      </c>
      <c r="P39" s="38"/>
      <c r="Q39" s="38"/>
      <c r="S39" s="39"/>
      <c r="T39" s="39"/>
      <c r="U39" s="40"/>
      <c r="V39" s="319"/>
      <c r="W39" s="319"/>
      <c r="X39" s="298"/>
      <c r="Y39" s="298"/>
    </row>
    <row r="40" spans="1:39" ht="17.25" customHeight="1">
      <c r="A40" s="304" t="s">
        <v>275</v>
      </c>
      <c r="B40" s="305"/>
      <c r="C40" s="305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S40" s="39"/>
      <c r="T40" s="39"/>
      <c r="U40" s="40"/>
      <c r="V40" s="298"/>
      <c r="W40" s="298"/>
      <c r="X40" s="298"/>
      <c r="Y40" s="298"/>
    </row>
    <row r="41" spans="1:39" ht="35.25" customHeight="1">
      <c r="A41" s="24" t="s">
        <v>242</v>
      </c>
      <c r="B41" s="26" t="s">
        <v>35</v>
      </c>
      <c r="C41" s="26" t="s">
        <v>243</v>
      </c>
      <c r="D41" s="26" t="s">
        <v>244</v>
      </c>
      <c r="E41" s="26" t="s">
        <v>245</v>
      </c>
      <c r="F41" s="26" t="s">
        <v>246</v>
      </c>
      <c r="G41" s="26" t="s">
        <v>247</v>
      </c>
      <c r="H41" s="26" t="s">
        <v>248</v>
      </c>
      <c r="I41" s="26" t="s">
        <v>249</v>
      </c>
      <c r="J41" s="26" t="s">
        <v>250</v>
      </c>
      <c r="K41" s="26" t="s">
        <v>251</v>
      </c>
      <c r="L41" s="26" t="s">
        <v>252</v>
      </c>
      <c r="M41" s="26" t="s">
        <v>253</v>
      </c>
      <c r="N41" s="27" t="s">
        <v>254</v>
      </c>
      <c r="O41" s="27" t="s">
        <v>255</v>
      </c>
      <c r="P41" s="28" t="s">
        <v>256</v>
      </c>
      <c r="Q41" s="28" t="s">
        <v>257</v>
      </c>
      <c r="S41" s="39"/>
      <c r="T41" s="39"/>
      <c r="U41" s="40"/>
      <c r="V41" s="313" t="s">
        <v>276</v>
      </c>
      <c r="W41" s="314"/>
      <c r="X41" s="314"/>
      <c r="Y41" s="315"/>
    </row>
    <row r="42" spans="1:39" ht="17.25" customHeight="1">
      <c r="A42" s="63" t="str">
        <f>'PCD SALAS'!C37</f>
        <v/>
      </c>
      <c r="B42" s="68" t="str">
        <f>'PCD SALAS'!D37</f>
        <v/>
      </c>
      <c r="C42" s="69" t="str">
        <f>'PCD SALAS'!E37</f>
        <v/>
      </c>
      <c r="D42" s="34" t="str" cm="1">
        <f t="array" ref="D42">IFERROR(INDEX('03.11.20'!G:G,MATCH(1,(('03.11.20'!A:A=C42)*('03.11.20'!B:B="Saida Cdd/Fab        ")),0)),"")</f>
        <v/>
      </c>
      <c r="E42" s="34" t="str" cm="1">
        <f t="array" ref="E42">IFERROR(INDEX('03.11.20'!G:G,MATCH(1,(('03.11.20'!A:A=C42)*('03.11.20'!B:B="Entrada Cdd/Fab      ")),0)),"")</f>
        <v/>
      </c>
      <c r="F42" s="34" t="str" cm="1">
        <f t="array" ref="F42">IFERROR(INDEX('03.11.20'!G:G,MATCH(1,(('03.11.20'!A:A=C42)*('03.11.20'!B:B="PC_Fisica            ")),0)),"")</f>
        <v/>
      </c>
      <c r="G42" s="34" t="str" cm="1">
        <f t="array" ref="G42">IFERROR(INDEX('03.11.20'!G:G,MATCH(1,(('03.11.20'!A:A=C42)*('03.11.20'!B:B="PC_Financeira        ")),0)),"")</f>
        <v/>
      </c>
      <c r="H42" s="34" t="str">
        <f t="shared" ref="H42:H44" si="27">IF(D42&lt;H$2, "00:30:00", IFERROR(D42-H$2, ""))</f>
        <v/>
      </c>
      <c r="I42" s="34" t="str">
        <f>IFERROR(IF(SUM(H42,K42,J42)=TIME(0,0,0),"",SUM(H42,K42,J42)),"")</f>
        <v/>
      </c>
      <c r="J42" s="34" t="str">
        <f>IFERROR(IF(F42 &gt; G42, F42, G42) - E42, "")</f>
        <v/>
      </c>
      <c r="K42" s="34" t="str">
        <f>IFERROR(E42-D42,"")</f>
        <v/>
      </c>
      <c r="L42" s="35" t="e">
        <f>VLOOKUP(C42,'03114902'!I:X,16,0)</f>
        <v>#N/A</v>
      </c>
      <c r="M42" s="34" t="e">
        <f>VLOOKUP(C42,'03114902'!I:W,15,0)</f>
        <v>#N/A</v>
      </c>
      <c r="N42" s="81" t="e">
        <f>VLOOKUP(C42,'03114902'!I:Z,18,0)</f>
        <v>#N/A</v>
      </c>
      <c r="O42" s="37" t="e">
        <f>VLOOKUP(C42,Tabela3[[Mapa]:[Motorista]],4,0)</f>
        <v>#N/A</v>
      </c>
      <c r="P42" s="49"/>
      <c r="Q42" s="49"/>
      <c r="S42" s="39">
        <f>IF(F42&lt;=$G$2,1,0)</f>
        <v>0</v>
      </c>
      <c r="T42" s="39">
        <f>IF(G42&lt;=$G$2,1,0)</f>
        <v>0</v>
      </c>
      <c r="U42" s="40">
        <f>SUM(S42:T42)</f>
        <v>0</v>
      </c>
      <c r="V42" s="269" t="s">
        <v>248</v>
      </c>
      <c r="W42" s="269" t="s">
        <v>268</v>
      </c>
      <c r="X42" s="41" t="s">
        <v>277</v>
      </c>
      <c r="Y42" s="269" t="s">
        <v>250</v>
      </c>
    </row>
    <row r="43" spans="1:39" ht="17.25" customHeight="1">
      <c r="A43" s="63" t="str">
        <f>'PCD SALAS'!C38</f>
        <v/>
      </c>
      <c r="B43" s="68" t="str">
        <f>'PCD SALAS'!D38</f>
        <v/>
      </c>
      <c r="C43" s="69" t="str">
        <f>'PCD SALAS'!E38</f>
        <v/>
      </c>
      <c r="D43" s="34" t="str" cm="1">
        <f t="array" ref="D43">IFERROR(INDEX('03.11.20'!G:G,MATCH(1,(('03.11.20'!A:A=C43)*('03.11.20'!B:B="Saida Cdd/Fab        ")),0)),"")</f>
        <v/>
      </c>
      <c r="E43" s="34" t="str" cm="1">
        <f t="array" ref="E43">IFERROR(INDEX('03.11.20'!G:G,MATCH(1,(('03.11.20'!A:A=C43)*('03.11.20'!B:B="Entrada Cdd/Fab      ")),0)),"")</f>
        <v/>
      </c>
      <c r="F43" s="34" t="str" cm="1">
        <f t="array" ref="F43">IFERROR(INDEX('03.11.20'!G:G,MATCH(1,(('03.11.20'!A:A=C43)*('03.11.20'!B:B="PC_Fisica            ")),0)),"")</f>
        <v/>
      </c>
      <c r="G43" s="34" t="str" cm="1">
        <f t="array" ref="G43">IFERROR(INDEX('03.11.20'!G:G,MATCH(1,(('03.11.20'!A:A=C43)*('03.11.20'!B:B="PC_Financeira        ")),0)),"")</f>
        <v/>
      </c>
      <c r="H43" s="34" t="str">
        <f t="shared" si="27"/>
        <v/>
      </c>
      <c r="I43" s="34" t="str">
        <f>IFERROR(IF(SUM(H43,K43,J43)=TIME(0,0,0),"",SUM(H43,K43,J43)),"")</f>
        <v/>
      </c>
      <c r="J43" s="34" t="str">
        <f>IFERROR(IF(F43 &gt; G43, F43, G43) - E43, "")</f>
        <v/>
      </c>
      <c r="K43" s="34" t="str">
        <f>IFERROR(E43-D43,"")</f>
        <v/>
      </c>
      <c r="L43" s="35" t="e">
        <f>VLOOKUP(C43,'03114902'!I:X,16,0)</f>
        <v>#N/A</v>
      </c>
      <c r="M43" s="34" t="e">
        <f>VLOOKUP(C43,'03114902'!I:W,15,0)</f>
        <v>#N/A</v>
      </c>
      <c r="N43" s="81" t="e">
        <f>VLOOKUP(C43,'03114902'!I:Z,18,0)</f>
        <v>#N/A</v>
      </c>
      <c r="O43" s="37" t="e">
        <f>VLOOKUP(C43,Tabela3[[Mapa]:[Motorista]],4,0)</f>
        <v>#N/A</v>
      </c>
      <c r="P43" s="49"/>
      <c r="Q43" s="49"/>
      <c r="S43" s="39">
        <f>IF(F43&lt;=$G$2,1,0)</f>
        <v>0</v>
      </c>
      <c r="T43" s="39">
        <f>IF(G43&lt;=$G$2,1,0)</f>
        <v>0</v>
      </c>
      <c r="U43" s="40">
        <f t="shared" ref="U43:U45" si="28">SUM(S43:T43)</f>
        <v>0</v>
      </c>
      <c r="V43" s="297" t="e">
        <f>V15</f>
        <v>#DIV/0!</v>
      </c>
      <c r="W43" s="297" t="e">
        <f>V23</f>
        <v>#DIV/0!</v>
      </c>
      <c r="X43" s="297" t="e">
        <f>AVERAGE(H55:H74)</f>
        <v>#DIV/0!</v>
      </c>
      <c r="Y43" s="297" t="e">
        <f>AVERAGE(J6:J17,J22:J38,J42:J45,J49)</f>
        <v>#DIV/0!</v>
      </c>
    </row>
    <row r="44" spans="1:39" ht="17.25" customHeight="1">
      <c r="A44" s="63"/>
      <c r="B44" s="68"/>
      <c r="C44" s="69" t="str">
        <f>'PCD SALAS'!E39</f>
        <v/>
      </c>
      <c r="D44" s="34" t="str" cm="1">
        <f t="array" ref="D44">IFERROR(INDEX('03.11.20'!G:G,MATCH(1,(('03.11.20'!A:A=C44)*('03.11.20'!B:B="Saida Cdd/Fab        ")),0)),"")</f>
        <v/>
      </c>
      <c r="E44" s="34" t="str" cm="1">
        <f t="array" ref="E44">IFERROR(INDEX('03.11.20'!G:G,MATCH(1,(('03.11.20'!A:A=C44)*('03.11.20'!B:B="Entrada Cdd/Fab      ")),0)),"")</f>
        <v/>
      </c>
      <c r="F44" s="34" t="str" cm="1">
        <f t="array" ref="F44">IFERROR(INDEX('03.11.20'!G:G,MATCH(1,(('03.11.20'!A:A=C44)*('03.11.20'!B:B="PC_Fisica            ")),0)),"")</f>
        <v/>
      </c>
      <c r="G44" s="34" t="str" cm="1">
        <f t="array" ref="G44">IFERROR(INDEX('03.11.20'!G:G,MATCH(1,(('03.11.20'!A:A=C44)*('03.11.20'!B:B="PC_Financeira        ")),0)),"")</f>
        <v/>
      </c>
      <c r="H44" s="34" t="str">
        <f t="shared" si="27"/>
        <v/>
      </c>
      <c r="I44" s="34" t="str">
        <f>IFERROR(IF(SUM(H44,K44,J44)=TIME(0,0,0),"",SUM(H44,K44,J44)),"")</f>
        <v/>
      </c>
      <c r="J44" s="34" t="str">
        <f>IFERROR(IF(F44 &gt; G44, F44, G44) - E44, "")</f>
        <v/>
      </c>
      <c r="K44" s="34" t="str">
        <f>IFERROR(E44-D44,"")</f>
        <v/>
      </c>
      <c r="L44" s="64" t="e">
        <v>#N/A</v>
      </c>
      <c r="M44" s="34" t="e">
        <f>VLOOKUP(C44,'03114902'!I:W,15,0)</f>
        <v>#N/A</v>
      </c>
      <c r="N44" s="81" t="e">
        <f>VLOOKUP(C44,'03114902'!I:Z,18,0)</f>
        <v>#N/A</v>
      </c>
      <c r="O44" s="37" t="e">
        <f>VLOOKUP(C44,Tabela3[[Mapa]:[Motorista]],4,0)</f>
        <v>#N/A</v>
      </c>
      <c r="P44" s="49"/>
      <c r="Q44" s="49"/>
      <c r="R44" s="3"/>
      <c r="S44" s="39">
        <f t="shared" ref="S44:T45" si="29">IF(F44&lt;=$G$2,1,0)</f>
        <v>0</v>
      </c>
      <c r="T44" s="39">
        <f t="shared" si="29"/>
        <v>0</v>
      </c>
      <c r="U44" s="40">
        <f t="shared" si="28"/>
        <v>0</v>
      </c>
      <c r="V44" s="298"/>
      <c r="W44" s="298"/>
      <c r="X44" s="298"/>
      <c r="Y44" s="298"/>
      <c r="Z44" s="3"/>
    </row>
    <row r="45" spans="1:39" ht="17.25" customHeight="1">
      <c r="A45" s="63"/>
      <c r="B45" s="68"/>
      <c r="C45" s="69" t="str">
        <f>'PCD SALAS'!E40</f>
        <v/>
      </c>
      <c r="D45" s="34" t="str" cm="1">
        <f t="array" ref="D45">IFERROR(INDEX('03.11.20'!G:G,MATCH(1,(('03.11.20'!A:A=C45)*('03.11.20'!B:B="Saida Cdd/Fab        ")),0)),"")</f>
        <v/>
      </c>
      <c r="E45" s="34" t="str" cm="1">
        <f t="array" ref="E45">IFERROR(INDEX('03.11.20'!G:G,MATCH(1,(('03.11.20'!A:A=C45)*('03.11.20'!B:B="Entrada Cdd/Fab      ")),0)),"")</f>
        <v/>
      </c>
      <c r="F45" s="34" t="str" cm="1">
        <f t="array" ref="F45">IFERROR(INDEX('03.11.20'!G:G,MATCH(1,(('03.11.20'!A:A=C45)*('03.11.20'!B:B="PC_Fisica            ")),0)),"")</f>
        <v/>
      </c>
      <c r="G45" s="34" t="str" cm="1">
        <f t="array" ref="G45">IFERROR(INDEX('03.11.20'!G:G,MATCH(1,(('03.11.20'!A:A=C45)*('03.11.20'!B:B="PC_Financeira        ")),0)),"")</f>
        <v/>
      </c>
      <c r="H45" s="34" t="str">
        <f>IF(D45&lt;H$2, "00:30:00", IFERROR(D45-H$2, ""))</f>
        <v/>
      </c>
      <c r="I45" s="34" t="str">
        <f>IFERROR(IF(SUM(H45,K45,J45)=TIME(0,0,0),"",SUM(H45,K45,J45)),"")</f>
        <v/>
      </c>
      <c r="J45" s="34" t="str">
        <f>IFERROR(IF(F45 &gt; G45, F45, G45) - E45, "")</f>
        <v/>
      </c>
      <c r="K45" s="34" t="str">
        <f>IFERROR(E45-D45,"")</f>
        <v/>
      </c>
      <c r="L45" s="64" t="e">
        <v>#N/A</v>
      </c>
      <c r="M45" s="34" t="e">
        <f>VLOOKUP(C45,'03114902'!I:W,15,0)</f>
        <v>#N/A</v>
      </c>
      <c r="N45" s="81" t="e">
        <f>VLOOKUP(C45,'03114902'!I:Z,18,0)</f>
        <v>#N/A</v>
      </c>
      <c r="O45" s="37" t="e">
        <f>VLOOKUP(C45,Tabela3[[Mapa]:[Motorista]],4,0)</f>
        <v>#N/A</v>
      </c>
      <c r="P45" s="49"/>
      <c r="Q45" s="49"/>
      <c r="R45" s="3"/>
      <c r="S45" s="39">
        <f t="shared" si="29"/>
        <v>0</v>
      </c>
      <c r="T45" s="39">
        <f t="shared" si="29"/>
        <v>0</v>
      </c>
      <c r="U45" s="40">
        <f t="shared" si="28"/>
        <v>0</v>
      </c>
      <c r="V45" s="3"/>
      <c r="W45" s="3"/>
      <c r="X45" s="3"/>
      <c r="Y45" s="3"/>
      <c r="Z45" s="3"/>
      <c r="AJ45" s="6"/>
      <c r="AK45" s="16"/>
      <c r="AL45" s="6"/>
      <c r="AM45" s="16"/>
    </row>
    <row r="46" spans="1:39">
      <c r="A46" s="70"/>
      <c r="B46" s="71"/>
      <c r="C46" s="71"/>
      <c r="D46" s="57"/>
      <c r="E46" s="57"/>
      <c r="F46" s="57"/>
      <c r="G46" s="57"/>
      <c r="S46" s="39"/>
      <c r="T46" s="39"/>
      <c r="U46" s="40"/>
    </row>
    <row r="47" spans="1:39">
      <c r="A47" s="292" t="s">
        <v>278</v>
      </c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/>
      <c r="N47" s="293"/>
      <c r="O47" s="293"/>
      <c r="P47" s="293"/>
      <c r="Q47" s="293"/>
      <c r="S47" s="39"/>
      <c r="T47" s="39"/>
      <c r="U47" s="40"/>
    </row>
    <row r="48" spans="1:39" ht="37.5" customHeight="1">
      <c r="A48" s="24" t="s">
        <v>242</v>
      </c>
      <c r="B48" s="26" t="s">
        <v>35</v>
      </c>
      <c r="C48" s="26" t="s">
        <v>243</v>
      </c>
      <c r="D48" s="26" t="s">
        <v>244</v>
      </c>
      <c r="E48" s="26" t="s">
        <v>245</v>
      </c>
      <c r="F48" s="26" t="s">
        <v>246</v>
      </c>
      <c r="G48" s="26" t="s">
        <v>247</v>
      </c>
      <c r="H48" s="26" t="s">
        <v>248</v>
      </c>
      <c r="I48" s="26" t="s">
        <v>249</v>
      </c>
      <c r="J48" s="26" t="s">
        <v>250</v>
      </c>
      <c r="K48" s="26" t="s">
        <v>251</v>
      </c>
      <c r="L48" s="26" t="s">
        <v>252</v>
      </c>
      <c r="M48" s="26" t="s">
        <v>253</v>
      </c>
      <c r="N48" s="27" t="s">
        <v>254</v>
      </c>
      <c r="O48" s="27" t="s">
        <v>255</v>
      </c>
      <c r="P48" s="28" t="s">
        <v>256</v>
      </c>
      <c r="Q48" s="28" t="s">
        <v>257</v>
      </c>
      <c r="S48" s="39"/>
      <c r="T48" s="39"/>
      <c r="U48" s="40"/>
    </row>
    <row r="49" spans="1:39" ht="17.25" customHeight="1">
      <c r="A49" s="72" cm="1">
        <f t="array" ref="A49:A50">Tabela351118[Data]</f>
        <v>46297</v>
      </c>
      <c r="B49" s="73" t="str" cm="1">
        <f t="array" ref="B49:B50">Tabela351118[Placa]</f>
        <v>FUX6061</v>
      </c>
      <c r="C49" s="74" cm="1">
        <f t="array" ref="C49:C50">Tabela351118[Mapa]</f>
        <v>179803</v>
      </c>
      <c r="D49" s="34" t="str" cm="1">
        <f t="array" ref="D49">IFERROR(INDEX('03.11.20'!G:G,MATCH(1,(('03.11.20'!A:A=C49)*('03.11.20'!B:B="Saida Cdd/Fab        ")),0)),"")</f>
        <v/>
      </c>
      <c r="E49" s="34" t="str" cm="1">
        <f t="array" ref="E49">IFERROR(INDEX('03.11.20'!G:G,MATCH(1,(('03.11.20'!A:A=C49)*('03.11.20'!B:B="Entrada Cdd/Fab      ")),0)),"")</f>
        <v/>
      </c>
      <c r="F49" s="34" t="str" cm="1">
        <f t="array" ref="F49">IFERROR(INDEX('03.11.20'!G:G,MATCH(1,(('03.11.20'!A:A=C49)*('03.11.20'!B:B="PC_Fisica            ")),0)),"")</f>
        <v/>
      </c>
      <c r="G49" s="34" t="str" cm="1">
        <f t="array" ref="G49">IFERROR(INDEX('03.11.20'!G:G,MATCH(1,(('03.11.20'!A:A=C49)*('03.11.20'!B:B="PC_Financeira        ")),0)),"")</f>
        <v/>
      </c>
      <c r="H49" s="34" t="str">
        <f>IF(D49&lt;H$3, "00:30:00", IFERROR(D49-H$3, ""))</f>
        <v/>
      </c>
      <c r="I49" s="34" t="str">
        <f>IFERROR(IF(SUM(H49,K49,J49)=TIME(0,0,0),"",SUM(H49,K49,J49)),"")</f>
        <v/>
      </c>
      <c r="J49" s="34" t="str">
        <f>IFERROR(IF(F49 &gt; G49, F49, G49) - E49, "")</f>
        <v/>
      </c>
      <c r="K49" s="34" t="str">
        <f>IFERROR(E49-D49,"")</f>
        <v/>
      </c>
      <c r="L49" s="35">
        <f>VLOOKUP(C49,'03114902'!I:X,16,0)</f>
        <v>17</v>
      </c>
      <c r="M49" s="34">
        <f>VLOOKUP(C49,'03114902'!I:W,15,0)</f>
        <v>0.42986111111111114</v>
      </c>
      <c r="N49" s="81">
        <f>VLOOKUP(C49,'03114902'!I:Z,18,0)</f>
        <v>61.2</v>
      </c>
      <c r="O49" s="37" t="str">
        <f>VLOOKUP(C49,Tabela3[[Mapa]:[Motorista]],4,0)</f>
        <v>ANDRE APARECIDO</v>
      </c>
      <c r="P49" s="49"/>
      <c r="Q49" s="49"/>
      <c r="S49" s="39">
        <f>IF(F49&lt;=$G$3,1,0)</f>
        <v>0</v>
      </c>
      <c r="T49" s="39">
        <f>IF(G49&lt;=$G$3,1,0)</f>
        <v>0</v>
      </c>
      <c r="U49" s="40">
        <f t="shared" ref="U49" si="30">SUM(S49:T49)</f>
        <v>0</v>
      </c>
    </row>
    <row r="50" spans="1:39" ht="15.75">
      <c r="A50" s="75" t="str">
        <v/>
      </c>
      <c r="B50" s="76" t="str">
        <v/>
      </c>
      <c r="C50" s="77" t="str">
        <v/>
      </c>
      <c r="D50" s="78" t="s">
        <v>50</v>
      </c>
      <c r="E50" s="78" t="s">
        <v>50</v>
      </c>
      <c r="F50" s="78" t="s">
        <v>50</v>
      </c>
      <c r="G50" s="78" t="s">
        <v>50</v>
      </c>
      <c r="K50" s="79"/>
      <c r="L50" s="79"/>
      <c r="M50" s="79"/>
      <c r="N50" s="80"/>
      <c r="O50" s="80"/>
      <c r="P50" s="80"/>
      <c r="S50" s="39"/>
      <c r="T50" s="39"/>
      <c r="U50" s="40"/>
    </row>
    <row r="51" spans="1:39">
      <c r="A51" s="70"/>
      <c r="B51" s="71"/>
      <c r="C51" s="71"/>
      <c r="D51" s="57"/>
      <c r="E51" s="57"/>
      <c r="F51" s="57"/>
      <c r="G51" s="57"/>
      <c r="K51" s="52"/>
      <c r="L51" s="52"/>
      <c r="M51" s="52"/>
      <c r="N51" s="53"/>
      <c r="O51" s="53"/>
      <c r="P51" s="53"/>
      <c r="S51" s="39"/>
      <c r="T51" s="39"/>
      <c r="U51" s="40"/>
    </row>
    <row r="52" spans="1:39">
      <c r="A52" s="70"/>
      <c r="B52" s="71"/>
      <c r="C52" s="71"/>
      <c r="D52" s="57"/>
      <c r="E52" s="57"/>
      <c r="F52" s="57"/>
      <c r="G52" s="57"/>
      <c r="S52" s="39"/>
      <c r="T52" s="39"/>
      <c r="U52" s="40"/>
    </row>
    <row r="53" spans="1:39">
      <c r="A53" s="292" t="s">
        <v>279</v>
      </c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P53" s="293"/>
      <c r="Q53" s="293"/>
      <c r="S53" s="39"/>
      <c r="T53" s="39"/>
      <c r="U53" s="40"/>
      <c r="AJ53" s="6"/>
      <c r="AK53" s="16"/>
      <c r="AL53" s="6"/>
      <c r="AM53" s="16"/>
    </row>
    <row r="54" spans="1:39" ht="30">
      <c r="A54" s="24" t="s">
        <v>242</v>
      </c>
      <c r="B54" s="26" t="s">
        <v>35</v>
      </c>
      <c r="C54" s="26" t="s">
        <v>243</v>
      </c>
      <c r="D54" s="26" t="s">
        <v>244</v>
      </c>
      <c r="E54" s="26" t="s">
        <v>245</v>
      </c>
      <c r="F54" s="26" t="s">
        <v>246</v>
      </c>
      <c r="G54" s="26" t="s">
        <v>247</v>
      </c>
      <c r="H54" s="26" t="s">
        <v>248</v>
      </c>
      <c r="I54" s="26" t="s">
        <v>251</v>
      </c>
      <c r="J54" s="26" t="s">
        <v>250</v>
      </c>
      <c r="K54" s="26" t="s">
        <v>249</v>
      </c>
      <c r="L54" s="26" t="s">
        <v>252</v>
      </c>
      <c r="M54" s="26" t="s">
        <v>253</v>
      </c>
      <c r="N54" s="27" t="s">
        <v>254</v>
      </c>
      <c r="O54" s="27" t="s">
        <v>255</v>
      </c>
      <c r="P54" s="28" t="s">
        <v>256</v>
      </c>
      <c r="Q54" s="28" t="s">
        <v>257</v>
      </c>
      <c r="R54" t="s">
        <v>280</v>
      </c>
      <c r="S54" s="39"/>
      <c r="T54" s="39"/>
      <c r="U54" s="40"/>
    </row>
    <row r="55" spans="1:39" ht="15.75">
      <c r="A55" s="72">
        <f>'PCD SALAS'!C49</f>
        <v>46297</v>
      </c>
      <c r="B55" s="73" t="str">
        <f>'PCD SALAS'!D49</f>
        <v>EWU3H21</v>
      </c>
      <c r="C55" s="74">
        <f>'PCD SALAS'!E49</f>
        <v>179799</v>
      </c>
      <c r="D55" s="34" t="str" cm="1">
        <f t="array" ref="D55">IFERROR(INDEX('03.11.20'!G:G,MATCH(1,(('03.11.20'!A:A=C55)*('03.11.20'!B:B="Saida Cdd/Fab        ")),0)),"")</f>
        <v/>
      </c>
      <c r="E55" s="34" t="str" cm="1">
        <f t="array" ref="E55">IFERROR(INDEX('03.11.20'!G:G,MATCH(1,(('03.11.20'!A:A=C55)*('03.11.20'!B:B="Entrada Cdd/Fab      ")),0)),"")</f>
        <v/>
      </c>
      <c r="F55" s="34" t="str" cm="1">
        <f t="array" ref="F55">IFERROR(INDEX('03.11.20'!G:G,MATCH(1,(('03.11.20'!A:A=C55)*('03.11.20'!B:B="PC_Fisica            ")),0)),"")</f>
        <v/>
      </c>
      <c r="G55" s="34" t="str" cm="1">
        <f t="array" ref="G55">IFERROR(INDEX('03.11.20'!G:G,MATCH(1,(('03.11.20'!A:A=C55)*('03.11.20'!B:B="PC_Financeira        ")),0)),"")</f>
        <v/>
      </c>
      <c r="H55" s="34" t="str">
        <f t="shared" ref="H55:H74" si="31">IF(D55&lt;R55, "00:30:00", IFERROR(D55-R55, ""))</f>
        <v/>
      </c>
      <c r="I55" s="34" t="e">
        <f>E55-D55</f>
        <v>#VALUE!</v>
      </c>
      <c r="J55" s="34" t="str">
        <f>IFERROR(G55-E55,"")</f>
        <v/>
      </c>
      <c r="K55" s="34" t="str">
        <f>IFERROR(E55-D55,"")</f>
        <v/>
      </c>
      <c r="L55" s="35">
        <f>VLOOKUP(C55,'03114902'!I:X,16,0)</f>
        <v>1</v>
      </c>
      <c r="M55" s="34">
        <f>VLOOKUP(C55,'03114902'!I:W,15,0)</f>
        <v>1.226388888888889</v>
      </c>
      <c r="N55" s="81">
        <f>VLOOKUP(C55,'03114902'!I:Z,18,0)</f>
        <v>60.31</v>
      </c>
      <c r="O55" s="37" t="str">
        <f>VLOOKUP(C55,Tabela3[[Mapa]:[Motorista]],4,0)</f>
        <v>LEONIR DHEIN</v>
      </c>
      <c r="P55" s="38"/>
      <c r="Q55" s="38"/>
      <c r="R55" s="83"/>
      <c r="S55" s="39">
        <f t="shared" ref="S55:S74" si="32">IF(F55&lt;=$G$3,1,0)</f>
        <v>0</v>
      </c>
      <c r="T55" s="39">
        <f t="shared" ref="T55:T74" si="33">IF(G55&lt;=$G$3,1,0)</f>
        <v>0</v>
      </c>
      <c r="U55" s="40">
        <f t="shared" ref="U55:U74" si="34">SUM(S55:T55)</f>
        <v>0</v>
      </c>
      <c r="V55" s="5"/>
    </row>
    <row r="56" spans="1:39" ht="15.75">
      <c r="A56" s="72" t="str">
        <f>'PCD SALAS'!C50</f>
        <v/>
      </c>
      <c r="B56" s="73" t="str">
        <f>'PCD SALAS'!D50</f>
        <v/>
      </c>
      <c r="C56" s="74" t="str">
        <f>'PCD SALAS'!E50</f>
        <v/>
      </c>
      <c r="D56" s="34" t="str" cm="1">
        <f t="array" ref="D56">IFERROR(INDEX('03.11.20'!G:G,MATCH(1,(('03.11.20'!A:A=C56)*('03.11.20'!B:B="Saida Cdd/Fab        ")),0)),"")</f>
        <v/>
      </c>
      <c r="E56" s="34" t="str" cm="1">
        <f t="array" ref="E56">IFERROR(INDEX('03.11.20'!G:G,MATCH(1,(('03.11.20'!A:A=C56)*('03.11.20'!B:B="Entrada Cdd/Fab      ")),0)),"")</f>
        <v/>
      </c>
      <c r="F56" s="34" t="str" cm="1">
        <f t="array" ref="F56">IFERROR(INDEX('03.11.20'!G:G,MATCH(1,(('03.11.20'!A:A=C56)*('03.11.20'!B:B="PC_Fisica            ")),0)),"")</f>
        <v/>
      </c>
      <c r="G56" s="34" t="str" cm="1">
        <f t="array" ref="G56">IFERROR(INDEX('03.11.20'!G:G,MATCH(1,(('03.11.20'!A:A=C56)*('03.11.20'!B:B="PC_Financeira        ")),0)),"")</f>
        <v/>
      </c>
      <c r="H56" s="34" t="str">
        <f t="shared" si="31"/>
        <v/>
      </c>
      <c r="I56" s="34" t="e">
        <f t="shared" ref="I56:I74" si="35">E56-D56</f>
        <v>#VALUE!</v>
      </c>
      <c r="J56" s="34" t="str">
        <f t="shared" ref="J56:J74" si="36">IFERROR(G56-E56,"")</f>
        <v/>
      </c>
      <c r="K56" s="34" t="str">
        <f t="shared" ref="K56:K74" si="37">IFERROR(E56-D56,"")</f>
        <v/>
      </c>
      <c r="L56" s="35" t="e">
        <f>VLOOKUP(C56,'03114902'!I:X,16,0)</f>
        <v>#N/A</v>
      </c>
      <c r="M56" s="34" t="e">
        <f>VLOOKUP(C56,'03114902'!I:W,15,0)</f>
        <v>#N/A</v>
      </c>
      <c r="N56" s="81" t="e">
        <f>VLOOKUP(C56,'03114902'!I:Z,18,0)</f>
        <v>#N/A</v>
      </c>
      <c r="O56" s="37" t="e">
        <f>VLOOKUP(C56,Tabela3[[Mapa]:[Motorista]],4,0)</f>
        <v>#N/A</v>
      </c>
      <c r="P56" s="38"/>
      <c r="Q56" s="38"/>
      <c r="R56" s="83"/>
      <c r="S56" s="39">
        <f t="shared" si="32"/>
        <v>0</v>
      </c>
      <c r="T56" s="39">
        <f t="shared" si="33"/>
        <v>0</v>
      </c>
      <c r="U56" s="40">
        <f t="shared" si="34"/>
        <v>0</v>
      </c>
    </row>
    <row r="57" spans="1:39" ht="15.75">
      <c r="A57" s="72" t="str">
        <f>'PCD SALAS'!C51</f>
        <v/>
      </c>
      <c r="B57" s="73" t="str">
        <f>'PCD SALAS'!D51</f>
        <v/>
      </c>
      <c r="C57" s="74" t="str">
        <f>'PCD SALAS'!E51</f>
        <v/>
      </c>
      <c r="D57" s="34" t="str" cm="1">
        <f t="array" ref="D57">IFERROR(INDEX('03.11.20'!G:G,MATCH(1,(('03.11.20'!A:A=C57)*('03.11.20'!B:B="Saida Cdd/Fab        ")),0)),"")</f>
        <v/>
      </c>
      <c r="E57" s="34" t="str" cm="1">
        <f t="array" ref="E57">IFERROR(INDEX('03.11.20'!G:G,MATCH(1,(('03.11.20'!A:A=C57)*('03.11.20'!B:B="Entrada Cdd/Fab      ")),0)),"")</f>
        <v/>
      </c>
      <c r="F57" s="34" t="str" cm="1">
        <f t="array" ref="F57">IFERROR(INDEX('03.11.20'!G:G,MATCH(1,(('03.11.20'!A:A=C57)*('03.11.20'!B:B="PC_Fisica            ")),0)),"")</f>
        <v/>
      </c>
      <c r="G57" s="34" t="str" cm="1">
        <f t="array" ref="G57">IFERROR(INDEX('03.11.20'!G:G,MATCH(1,(('03.11.20'!A:A=C57)*('03.11.20'!B:B="PC_Financeira        ")),0)),"")</f>
        <v/>
      </c>
      <c r="H57" s="34" t="str">
        <f t="shared" si="31"/>
        <v/>
      </c>
      <c r="I57" s="34" t="e">
        <f t="shared" si="35"/>
        <v>#VALUE!</v>
      </c>
      <c r="J57" s="34" t="str">
        <f t="shared" si="36"/>
        <v/>
      </c>
      <c r="K57" s="34" t="str">
        <f t="shared" si="37"/>
        <v/>
      </c>
      <c r="L57" s="35" t="e">
        <f>VLOOKUP(C57,'03114902'!I:X,16,0)</f>
        <v>#N/A</v>
      </c>
      <c r="M57" s="34" t="e">
        <f>VLOOKUP(C57,'03114902'!I:W,15,0)</f>
        <v>#N/A</v>
      </c>
      <c r="N57" s="81" t="e">
        <f>VLOOKUP(C57,'03114902'!I:Z,18,0)</f>
        <v>#N/A</v>
      </c>
      <c r="O57" s="37" t="e">
        <f>VLOOKUP(C57,Tabela3[[Mapa]:[Motorista]],4,0)</f>
        <v>#N/A</v>
      </c>
      <c r="P57" s="38"/>
      <c r="Q57" s="38"/>
      <c r="R57" s="83"/>
      <c r="S57" s="39">
        <f t="shared" si="32"/>
        <v>0</v>
      </c>
      <c r="T57" s="39">
        <f t="shared" si="33"/>
        <v>0</v>
      </c>
      <c r="U57" s="40">
        <f t="shared" si="34"/>
        <v>0</v>
      </c>
    </row>
    <row r="58" spans="1:39" ht="15.75">
      <c r="A58" s="72" t="str">
        <f>'PCD SALAS'!C52</f>
        <v/>
      </c>
      <c r="B58" s="73" t="str">
        <f>'PCD SALAS'!D52</f>
        <v/>
      </c>
      <c r="C58" s="74" t="str">
        <f>'PCD SALAS'!E52</f>
        <v/>
      </c>
      <c r="D58" s="34" t="str" cm="1">
        <f t="array" ref="D58">IFERROR(INDEX('03.11.20'!G:G,MATCH(1,(('03.11.20'!A:A=C58)*('03.11.20'!B:B="Saida Cdd/Fab        ")),0)),"")</f>
        <v/>
      </c>
      <c r="E58" s="34" t="str" cm="1">
        <f t="array" ref="E58">IFERROR(INDEX('03.11.20'!G:G,MATCH(1,(('03.11.20'!A:A=C58)*('03.11.20'!B:B="Entrada Cdd/Fab      ")),0)),"")</f>
        <v/>
      </c>
      <c r="F58" s="34" t="str" cm="1">
        <f t="array" ref="F58">IFERROR(INDEX('03.11.20'!G:G,MATCH(1,(('03.11.20'!A:A=C58)*('03.11.20'!B:B="PC_Fisica            ")),0)),"")</f>
        <v/>
      </c>
      <c r="G58" s="34" t="str" cm="1">
        <f t="array" ref="G58">IFERROR(INDEX('03.11.20'!G:G,MATCH(1,(('03.11.20'!A:A=C58)*('03.11.20'!B:B="PC_Financeira        ")),0)),"")</f>
        <v/>
      </c>
      <c r="H58" s="34" t="str">
        <f t="shared" si="31"/>
        <v/>
      </c>
      <c r="I58" s="34" t="e">
        <f t="shared" si="35"/>
        <v>#VALUE!</v>
      </c>
      <c r="J58" s="34" t="str">
        <f t="shared" si="36"/>
        <v/>
      </c>
      <c r="K58" s="34" t="str">
        <f t="shared" si="37"/>
        <v/>
      </c>
      <c r="L58" s="35" t="e">
        <f>VLOOKUP(C58,'03114902'!I:X,16,0)</f>
        <v>#N/A</v>
      </c>
      <c r="M58" s="34" t="e">
        <f>VLOOKUP(C58,'03114902'!I:W,15,0)</f>
        <v>#N/A</v>
      </c>
      <c r="N58" s="81" t="e">
        <f>VLOOKUP(C58,'03114902'!I:Z,18,0)</f>
        <v>#N/A</v>
      </c>
      <c r="O58" s="37" t="e">
        <f>VLOOKUP(C58,Tabela3[[Mapa]:[Motorista]],4,0)</f>
        <v>#N/A</v>
      </c>
      <c r="P58" s="38"/>
      <c r="Q58" s="38"/>
      <c r="R58" s="83"/>
      <c r="S58" s="39">
        <f t="shared" si="32"/>
        <v>0</v>
      </c>
      <c r="T58" s="39">
        <f t="shared" si="33"/>
        <v>0</v>
      </c>
      <c r="U58" s="40">
        <f t="shared" si="34"/>
        <v>0</v>
      </c>
    </row>
    <row r="59" spans="1:39" ht="15.75">
      <c r="A59" s="72">
        <f>'PCD SALAS'!C53</f>
        <v>46297</v>
      </c>
      <c r="B59" s="73" t="str">
        <f>'PCD SALAS'!D53</f>
        <v>DVT4G32</v>
      </c>
      <c r="C59" s="74">
        <f>'PCD SALAS'!E53</f>
        <v>179800</v>
      </c>
      <c r="D59" s="34" t="str" cm="1">
        <f t="array" ref="D59">IFERROR(INDEX('03.11.20'!G:G,MATCH(1,(('03.11.20'!A:A=C59)*('03.11.20'!B:B="Saida Cdd/Fab        ")),0)),"")</f>
        <v/>
      </c>
      <c r="E59" s="34" t="str" cm="1">
        <f t="array" ref="E59">IFERROR(INDEX('03.11.20'!G:G,MATCH(1,(('03.11.20'!A:A=C59)*('03.11.20'!B:B="Entrada Cdd/Fab      ")),0)),"")</f>
        <v/>
      </c>
      <c r="F59" s="34" t="str" cm="1">
        <f t="array" ref="F59">IFERROR(INDEX('03.11.20'!G:G,MATCH(1,(('03.11.20'!A:A=C59)*('03.11.20'!B:B="PC_Fisica            ")),0)),"")</f>
        <v/>
      </c>
      <c r="G59" s="34" t="str" cm="1">
        <f t="array" ref="G59">IFERROR(INDEX('03.11.20'!G:G,MATCH(1,(('03.11.20'!A:A=C59)*('03.11.20'!B:B="PC_Financeira        ")),0)),"")</f>
        <v/>
      </c>
      <c r="H59" s="34" t="str">
        <f t="shared" si="31"/>
        <v/>
      </c>
      <c r="I59" s="34" t="e">
        <f t="shared" si="35"/>
        <v>#VALUE!</v>
      </c>
      <c r="J59" s="34" t="str">
        <f t="shared" si="36"/>
        <v/>
      </c>
      <c r="K59" s="34" t="str">
        <f t="shared" si="37"/>
        <v/>
      </c>
      <c r="L59" s="35">
        <f>VLOOKUP(C59,'03114902'!I:X,16,0)</f>
        <v>1</v>
      </c>
      <c r="M59" s="34">
        <f>VLOOKUP(C59,'03114902'!I:W,15,0)</f>
        <v>1.2118055555555556</v>
      </c>
      <c r="N59" s="81">
        <f>VLOOKUP(C59,'03114902'!I:Z,18,0)</f>
        <v>44.15</v>
      </c>
      <c r="O59" s="37" t="str">
        <f>VLOOKUP(C59,Tabela3[[Mapa]:[Motorista]],4,0)</f>
        <v>WELVIS SILVA CARNEIRO</v>
      </c>
      <c r="P59" s="38"/>
      <c r="Q59" s="38"/>
      <c r="R59" s="83"/>
      <c r="S59" s="39">
        <f t="shared" si="32"/>
        <v>0</v>
      </c>
      <c r="T59" s="39">
        <f t="shared" si="33"/>
        <v>0</v>
      </c>
      <c r="U59" s="40">
        <f t="shared" si="34"/>
        <v>0</v>
      </c>
    </row>
    <row r="60" spans="1:39" ht="15.75">
      <c r="A60" s="72" t="str">
        <f>'PCD SALAS'!C54</f>
        <v/>
      </c>
      <c r="B60" s="73" t="str">
        <f>'PCD SALAS'!D54</f>
        <v/>
      </c>
      <c r="C60" s="74" t="str">
        <f>'PCD SALAS'!E54</f>
        <v/>
      </c>
      <c r="D60" s="34" t="str" cm="1">
        <f t="array" ref="D60">IFERROR(INDEX('03.11.20'!G:G,MATCH(1,(('03.11.20'!A:A=C60)*('03.11.20'!B:B="Saida Cdd/Fab        ")),0)),"")</f>
        <v/>
      </c>
      <c r="E60" s="34" t="str" cm="1">
        <f t="array" ref="E60">IFERROR(INDEX('03.11.20'!G:G,MATCH(1,(('03.11.20'!A:A=C60)*('03.11.20'!B:B="Entrada Cdd/Fab      ")),0)),"")</f>
        <v/>
      </c>
      <c r="F60" s="34" t="str" cm="1">
        <f t="array" ref="F60">IFERROR(INDEX('03.11.20'!G:G,MATCH(1,(('03.11.20'!A:A=C60)*('03.11.20'!B:B="PC_Fisica            ")),0)),"")</f>
        <v/>
      </c>
      <c r="G60" s="34" t="str" cm="1">
        <f t="array" ref="G60">IFERROR(INDEX('03.11.20'!G:G,MATCH(1,(('03.11.20'!A:A=C60)*('03.11.20'!B:B="PC_Financeira        ")),0)),"")</f>
        <v/>
      </c>
      <c r="H60" s="34" t="str">
        <f t="shared" si="31"/>
        <v/>
      </c>
      <c r="I60" s="34" t="e">
        <f t="shared" si="35"/>
        <v>#VALUE!</v>
      </c>
      <c r="J60" s="34" t="str">
        <f t="shared" si="36"/>
        <v/>
      </c>
      <c r="K60" s="34" t="str">
        <f t="shared" si="37"/>
        <v/>
      </c>
      <c r="L60" s="35" t="e">
        <f>VLOOKUP(C60,'03114902'!I:X,16,0)</f>
        <v>#N/A</v>
      </c>
      <c r="M60" s="34" t="e">
        <f>VLOOKUP(C60,'03114902'!I:W,15,0)</f>
        <v>#N/A</v>
      </c>
      <c r="N60" s="81" t="e">
        <f>VLOOKUP(C60,'03114902'!I:Z,18,0)</f>
        <v>#N/A</v>
      </c>
      <c r="O60" s="37" t="e">
        <f>VLOOKUP(C60,Tabela3[[Mapa]:[Motorista]],4,0)</f>
        <v>#N/A</v>
      </c>
      <c r="P60" s="38"/>
      <c r="Q60" s="38"/>
      <c r="R60" s="83"/>
      <c r="S60" s="39">
        <f t="shared" si="32"/>
        <v>0</v>
      </c>
      <c r="T60" s="39">
        <f t="shared" si="33"/>
        <v>0</v>
      </c>
      <c r="U60" s="40">
        <f t="shared" si="34"/>
        <v>0</v>
      </c>
    </row>
    <row r="61" spans="1:39" ht="15.75">
      <c r="A61" s="72">
        <f>'PCD SALAS'!C55</f>
        <v>46297</v>
      </c>
      <c r="B61" s="73" t="str">
        <f>'PCD SALAS'!D55</f>
        <v>MDB1A18</v>
      </c>
      <c r="C61" s="74">
        <f>'PCD SALAS'!E55</f>
        <v>179797</v>
      </c>
      <c r="D61" s="34" t="str" cm="1">
        <f t="array" ref="D61">IFERROR(INDEX('03.11.20'!G:G,MATCH(1,(('03.11.20'!A:A=C61)*('03.11.20'!B:B="Saida Cdd/Fab        ")),0)),"")</f>
        <v/>
      </c>
      <c r="E61" s="34" t="str" cm="1">
        <f t="array" ref="E61">IFERROR(INDEX('03.11.20'!G:G,MATCH(1,(('03.11.20'!A:A=C61)*('03.11.20'!B:B="Entrada Cdd/Fab      ")),0)),"")</f>
        <v/>
      </c>
      <c r="F61" s="34" t="str" cm="1">
        <f t="array" ref="F61">IFERROR(INDEX('03.11.20'!G:G,MATCH(1,(('03.11.20'!A:A=C61)*('03.11.20'!B:B="PC_Fisica            ")),0)),"")</f>
        <v/>
      </c>
      <c r="G61" s="34" t="str" cm="1">
        <f t="array" ref="G61">IFERROR(INDEX('03.11.20'!G:G,MATCH(1,(('03.11.20'!A:A=C61)*('03.11.20'!B:B="PC_Financeira        ")),0)),"")</f>
        <v/>
      </c>
      <c r="H61" s="34" t="str">
        <f t="shared" si="31"/>
        <v/>
      </c>
      <c r="I61" s="34" t="e">
        <f t="shared" si="35"/>
        <v>#VALUE!</v>
      </c>
      <c r="J61" s="34" t="str">
        <f t="shared" si="36"/>
        <v/>
      </c>
      <c r="K61" s="34" t="str">
        <f t="shared" si="37"/>
        <v/>
      </c>
      <c r="L61" s="35">
        <f>VLOOKUP(C61,'03114902'!I:X,16,0)</f>
        <v>1</v>
      </c>
      <c r="M61" s="34">
        <f>VLOOKUP(C61,'03114902'!I:W,15,0)</f>
        <v>0.34861111111111109</v>
      </c>
      <c r="N61" s="81">
        <f>VLOOKUP(C61,'03114902'!I:Z,18,0)</f>
        <v>62.92</v>
      </c>
      <c r="O61" s="37" t="str">
        <f>VLOOKUP(C61,Tabela3[[Mapa]:[Motorista]],4,0)</f>
        <v>JOAO SOUZA DOS REIS</v>
      </c>
      <c r="P61" s="38"/>
      <c r="Q61" s="38"/>
      <c r="R61" s="83"/>
      <c r="S61" s="39">
        <f t="shared" si="32"/>
        <v>0</v>
      </c>
      <c r="T61" s="39">
        <f t="shared" si="33"/>
        <v>0</v>
      </c>
      <c r="U61" s="40">
        <f t="shared" si="34"/>
        <v>0</v>
      </c>
    </row>
    <row r="62" spans="1:39" ht="15.75">
      <c r="A62" s="72">
        <f>'PCD SALAS'!C56</f>
        <v>46297</v>
      </c>
      <c r="B62" s="73" t="str">
        <f>'PCD SALAS'!D56</f>
        <v>KAG0C07</v>
      </c>
      <c r="C62" s="74">
        <f>'PCD SALAS'!E56</f>
        <v>179795</v>
      </c>
      <c r="D62" s="34" t="str" cm="1">
        <f t="array" ref="D62">IFERROR(INDEX('03.11.20'!G:G,MATCH(1,(('03.11.20'!A:A=C62)*('03.11.20'!B:B="Saida Cdd/Fab        ")),0)),"")</f>
        <v/>
      </c>
      <c r="E62" s="34" t="str" cm="1">
        <f t="array" ref="E62">IFERROR(INDEX('03.11.20'!G:G,MATCH(1,(('03.11.20'!A:A=C62)*('03.11.20'!B:B="Entrada Cdd/Fab      ")),0)),"")</f>
        <v/>
      </c>
      <c r="F62" s="34" t="str" cm="1">
        <f t="array" ref="F62">IFERROR(INDEX('03.11.20'!G:G,MATCH(1,(('03.11.20'!A:A=C62)*('03.11.20'!B:B="PC_Fisica            ")),0)),"")</f>
        <v/>
      </c>
      <c r="G62" s="34" t="str" cm="1">
        <f t="array" ref="G62">IFERROR(INDEX('03.11.20'!G:G,MATCH(1,(('03.11.20'!A:A=C62)*('03.11.20'!B:B="PC_Financeira        ")),0)),"")</f>
        <v/>
      </c>
      <c r="H62" s="34" t="str">
        <f>IF(D62&lt;R62, "00:30:00", IFERROR(D62-R62, ""))</f>
        <v/>
      </c>
      <c r="I62" s="34" t="e">
        <f t="shared" si="35"/>
        <v>#VALUE!</v>
      </c>
      <c r="J62" s="34" t="str">
        <f t="shared" si="36"/>
        <v/>
      </c>
      <c r="K62" s="34" t="str">
        <f t="shared" si="37"/>
        <v/>
      </c>
      <c r="L62" s="35">
        <f>VLOOKUP(C62,'03114902'!I:X,16,0)</f>
        <v>1</v>
      </c>
      <c r="M62" s="34">
        <f>VLOOKUP(C62,'03114902'!I:W,15,0)</f>
        <v>1.0201388888888889</v>
      </c>
      <c r="N62" s="81">
        <f>VLOOKUP(C62,'03114902'!I:Z,18,0)</f>
        <v>81.88</v>
      </c>
      <c r="O62" s="37" t="str">
        <f>VLOOKUP(C62,Tabela3[[Mapa]:[Motorista]],4,0)</f>
        <v>GABRIEL BRITO</v>
      </c>
      <c r="P62" s="38"/>
      <c r="Q62" s="38"/>
      <c r="R62" s="83"/>
      <c r="S62" s="39">
        <f t="shared" si="32"/>
        <v>0</v>
      </c>
      <c r="T62" s="39">
        <f t="shared" si="33"/>
        <v>0</v>
      </c>
      <c r="U62" s="40">
        <f t="shared" si="34"/>
        <v>0</v>
      </c>
      <c r="AJ62" s="6"/>
      <c r="AK62" s="16"/>
      <c r="AL62" s="6"/>
    </row>
    <row r="63" spans="1:39" ht="15.75">
      <c r="A63" s="72">
        <f>'PCD SALAS'!C57</f>
        <v>46297</v>
      </c>
      <c r="B63" s="73" t="str">
        <f>'PCD SALAS'!D57</f>
        <v>IQU6H77</v>
      </c>
      <c r="C63" s="74">
        <f>'PCD SALAS'!E57</f>
        <v>179796</v>
      </c>
      <c r="D63" s="34" t="str" cm="1">
        <f t="array" ref="D63">IFERROR(INDEX('03.11.20'!G:G,MATCH(1,(('03.11.20'!A:A=C63)*('03.11.20'!B:B="Saida Cdd/Fab        ")),0)),"")</f>
        <v/>
      </c>
      <c r="E63" s="34" t="str" cm="1">
        <f t="array" ref="E63">IFERROR(INDEX('03.11.20'!G:G,MATCH(1,(('03.11.20'!A:A=C63)*('03.11.20'!B:B="Entrada Cdd/Fab      ")),0)),"")</f>
        <v/>
      </c>
      <c r="F63" s="34" t="str" cm="1">
        <f t="array" ref="F63">IFERROR(INDEX('03.11.20'!G:G,MATCH(1,(('03.11.20'!A:A=C63)*('03.11.20'!B:B="PC_Fisica            ")),0)),"")</f>
        <v/>
      </c>
      <c r="G63" s="34" t="str" cm="1">
        <f t="array" ref="G63">IFERROR(INDEX('03.11.20'!G:G,MATCH(1,(('03.11.20'!A:A=C63)*('03.11.20'!B:B="PC_Financeira        ")),0)),"")</f>
        <v/>
      </c>
      <c r="H63" s="34" t="str">
        <f t="shared" si="31"/>
        <v/>
      </c>
      <c r="I63" s="34" t="e">
        <f t="shared" si="35"/>
        <v>#VALUE!</v>
      </c>
      <c r="J63" s="34" t="str">
        <f t="shared" si="36"/>
        <v/>
      </c>
      <c r="K63" s="34" t="str">
        <f t="shared" si="37"/>
        <v/>
      </c>
      <c r="L63" s="35">
        <f>VLOOKUP(C63,'03114902'!I:X,16,0)</f>
        <v>1</v>
      </c>
      <c r="M63" s="34">
        <f>VLOOKUP(C63,'03114902'!I:W,15,0)</f>
        <v>1.0243055555555556</v>
      </c>
      <c r="N63" s="81">
        <f>VLOOKUP(C63,'03114902'!I:Z,18,0)</f>
        <v>73.760000000000005</v>
      </c>
      <c r="O63" s="37" t="str">
        <f>VLOOKUP(C63,Tabela3[[Mapa]:[Motorista]],4,0)</f>
        <v>EDILEUZA CORREIA</v>
      </c>
      <c r="P63" s="38"/>
      <c r="Q63" s="38"/>
      <c r="R63" s="83"/>
      <c r="S63" s="39">
        <f t="shared" si="32"/>
        <v>0</v>
      </c>
      <c r="T63" s="39">
        <f t="shared" si="33"/>
        <v>0</v>
      </c>
      <c r="U63" s="40">
        <f t="shared" si="34"/>
        <v>0</v>
      </c>
    </row>
    <row r="64" spans="1:39" ht="15.75">
      <c r="A64" s="72">
        <f>'PCD SALAS'!C58</f>
        <v>46297</v>
      </c>
      <c r="B64" s="73" t="str">
        <f>'PCD SALAS'!D58</f>
        <v>NXK5H74</v>
      </c>
      <c r="C64" s="74">
        <f>'PCD SALAS'!E58</f>
        <v>179798</v>
      </c>
      <c r="D64" s="34" t="str" cm="1">
        <f t="array" ref="D64">IFERROR(INDEX('03.11.20'!G:G,MATCH(1,(('03.11.20'!A:A=C64)*('03.11.20'!B:B="Saida Cdd/Fab        ")),0)),"")</f>
        <v/>
      </c>
      <c r="E64" s="34" t="str" cm="1">
        <f t="array" ref="E64">IFERROR(INDEX('03.11.20'!G:G,MATCH(1,(('03.11.20'!A:A=C64)*('03.11.20'!B:B="Entrada Cdd/Fab      ")),0)),"")</f>
        <v/>
      </c>
      <c r="F64" s="34" t="str" cm="1">
        <f t="array" ref="F64">IFERROR(INDEX('03.11.20'!G:G,MATCH(1,(('03.11.20'!A:A=C64)*('03.11.20'!B:B="PC_Fisica            ")),0)),"")</f>
        <v/>
      </c>
      <c r="G64" s="34" t="str" cm="1">
        <f t="array" ref="G64">IFERROR(INDEX('03.11.20'!G:G,MATCH(1,(('03.11.20'!A:A=C64)*('03.11.20'!B:B="PC_Financeira        ")),0)),"")</f>
        <v/>
      </c>
      <c r="H64" s="34" t="str">
        <f t="shared" si="31"/>
        <v/>
      </c>
      <c r="I64" s="34" t="e">
        <f t="shared" si="35"/>
        <v>#VALUE!</v>
      </c>
      <c r="J64" s="34" t="str">
        <f t="shared" si="36"/>
        <v/>
      </c>
      <c r="K64" s="34" t="str">
        <f t="shared" si="37"/>
        <v/>
      </c>
      <c r="L64" s="35">
        <f>VLOOKUP(C64,'03114902'!I:X,16,0)</f>
        <v>1</v>
      </c>
      <c r="M64" s="34">
        <f>VLOOKUP(C64,'03114902'!I:W,15,0)</f>
        <v>1.0006944444444446</v>
      </c>
      <c r="N64" s="81">
        <f>VLOOKUP(C64,'03114902'!I:Z,18,0)</f>
        <v>69.540000000000006</v>
      </c>
      <c r="O64" s="37" t="str">
        <f>VLOOKUP(C64,Tabela3[[Mapa]:[Motorista]],4,0)</f>
        <v>FLAVIO</v>
      </c>
      <c r="P64" s="38"/>
      <c r="Q64" s="38"/>
      <c r="R64" s="83"/>
      <c r="S64" s="39">
        <f t="shared" si="32"/>
        <v>0</v>
      </c>
      <c r="T64" s="39">
        <f t="shared" si="33"/>
        <v>0</v>
      </c>
      <c r="U64" s="40">
        <f t="shared" si="34"/>
        <v>0</v>
      </c>
    </row>
    <row r="65" spans="1:39" ht="15.75">
      <c r="A65" s="72" t="str">
        <f>'PCD SALAS'!C59</f>
        <v/>
      </c>
      <c r="B65" s="73" t="str">
        <f>'PCD SALAS'!D59</f>
        <v/>
      </c>
      <c r="C65" s="74" t="str">
        <f>'PCD SALAS'!E59</f>
        <v/>
      </c>
      <c r="D65" s="34" t="str" cm="1">
        <f t="array" ref="D65">IFERROR(INDEX('03.11.20'!G:G,MATCH(1,(('03.11.20'!A:A=C65)*('03.11.20'!B:B="Saida Cdd/Fab        ")),0)),"")</f>
        <v/>
      </c>
      <c r="E65" s="34" t="str" cm="1">
        <f t="array" ref="E65">IFERROR(INDEX('03.11.20'!G:G,MATCH(1,(('03.11.20'!A:A=C65)*('03.11.20'!B:B="Entrada Cdd/Fab      ")),0)),"")</f>
        <v/>
      </c>
      <c r="F65" s="34" t="str" cm="1">
        <f t="array" ref="F65">IFERROR(INDEX('03.11.20'!G:G,MATCH(1,(('03.11.20'!A:A=C65)*('03.11.20'!B:B="PC_Fisica            ")),0)),"")</f>
        <v/>
      </c>
      <c r="G65" s="34" t="str" cm="1">
        <f t="array" ref="G65">IFERROR(INDEX('03.11.20'!G:G,MATCH(1,(('03.11.20'!A:A=C65)*('03.11.20'!B:B="PC_Financeira        ")),0)),"")</f>
        <v/>
      </c>
      <c r="H65" s="34" t="str">
        <f t="shared" si="31"/>
        <v/>
      </c>
      <c r="I65" s="34" t="e">
        <f t="shared" si="35"/>
        <v>#VALUE!</v>
      </c>
      <c r="J65" s="34" t="str">
        <f t="shared" si="36"/>
        <v/>
      </c>
      <c r="K65" s="34" t="str">
        <f t="shared" si="37"/>
        <v/>
      </c>
      <c r="L65" s="35" t="e">
        <f>VLOOKUP(C65,'03114902'!I:X,16,0)</f>
        <v>#N/A</v>
      </c>
      <c r="M65" s="34" t="e">
        <f>VLOOKUP(C65,'03114902'!I:W,15,0)</f>
        <v>#N/A</v>
      </c>
      <c r="N65" s="81" t="e">
        <f>VLOOKUP(C65,'03114902'!I:Z,18,0)</f>
        <v>#N/A</v>
      </c>
      <c r="O65" s="37" t="e">
        <f>VLOOKUP(C65,Tabela3[[Mapa]:[Motorista]],4,0)</f>
        <v>#N/A</v>
      </c>
      <c r="P65" s="38"/>
      <c r="Q65" s="38"/>
      <c r="R65" s="83"/>
      <c r="S65" s="39">
        <f t="shared" si="32"/>
        <v>0</v>
      </c>
      <c r="T65" s="39">
        <f t="shared" si="33"/>
        <v>0</v>
      </c>
      <c r="U65" s="40">
        <f t="shared" si="34"/>
        <v>0</v>
      </c>
    </row>
    <row r="66" spans="1:39" ht="15.75">
      <c r="A66" s="72" t="str">
        <f>'PCD SALAS'!C60</f>
        <v/>
      </c>
      <c r="B66" s="73" t="str">
        <f>'PCD SALAS'!D60</f>
        <v/>
      </c>
      <c r="C66" s="74" t="str">
        <f>'PCD SALAS'!E60</f>
        <v/>
      </c>
      <c r="D66" s="34" t="str" cm="1">
        <f t="array" ref="D66">IFERROR(INDEX('03.11.20'!G:G,MATCH(1,(('03.11.20'!A:A=C66)*('03.11.20'!B:B="Saida Cdd/Fab        ")),0)),"")</f>
        <v/>
      </c>
      <c r="E66" s="34" t="str" cm="1">
        <f t="array" ref="E66">IFERROR(INDEX('03.11.20'!G:G,MATCH(1,(('03.11.20'!A:A=C66)*('03.11.20'!B:B="Entrada Cdd/Fab      ")),0)),"")</f>
        <v/>
      </c>
      <c r="F66" s="34" t="str" cm="1">
        <f t="array" ref="F66">IFERROR(INDEX('03.11.20'!G:G,MATCH(1,(('03.11.20'!A:A=C66)*('03.11.20'!B:B="PC_Fisica            ")),0)),"")</f>
        <v/>
      </c>
      <c r="G66" s="34" t="str" cm="1">
        <f t="array" ref="G66">IFERROR(INDEX('03.11.20'!G:G,MATCH(1,(('03.11.20'!A:A=C66)*('03.11.20'!B:B="PC_Financeira        ")),0)),"")</f>
        <v/>
      </c>
      <c r="H66" s="34" t="str">
        <f t="shared" si="31"/>
        <v/>
      </c>
      <c r="I66" s="34" t="e">
        <f t="shared" si="35"/>
        <v>#VALUE!</v>
      </c>
      <c r="J66" s="34" t="str">
        <f t="shared" si="36"/>
        <v/>
      </c>
      <c r="K66" s="34" t="str">
        <f t="shared" si="37"/>
        <v/>
      </c>
      <c r="L66" s="35" t="e">
        <f>VLOOKUP(C66,'03114902'!I:X,16,0)</f>
        <v>#N/A</v>
      </c>
      <c r="M66" s="34" t="e">
        <f>VLOOKUP(C66,'03114902'!I:W,15,0)</f>
        <v>#N/A</v>
      </c>
      <c r="N66" s="81" t="e">
        <f>VLOOKUP(C66,'03114902'!I:Z,18,0)</f>
        <v>#N/A</v>
      </c>
      <c r="O66" s="37" t="e">
        <f>VLOOKUP(C66,Tabela3[[Mapa]:[Motorista]],4,0)</f>
        <v>#N/A</v>
      </c>
      <c r="P66" s="38"/>
      <c r="Q66" s="38"/>
      <c r="R66" s="83"/>
      <c r="S66" s="39">
        <f t="shared" si="32"/>
        <v>0</v>
      </c>
      <c r="T66" s="39">
        <f t="shared" si="33"/>
        <v>0</v>
      </c>
      <c r="U66" s="40">
        <f t="shared" si="34"/>
        <v>0</v>
      </c>
    </row>
    <row r="67" spans="1:39" ht="15.75">
      <c r="A67" s="72" t="str">
        <f>'PCD SALAS'!C61</f>
        <v/>
      </c>
      <c r="B67" s="73" t="str">
        <f>'PCD SALAS'!D61</f>
        <v/>
      </c>
      <c r="C67" s="74" t="str">
        <f>'PCD SALAS'!E61</f>
        <v/>
      </c>
      <c r="D67" s="34" t="str" cm="1">
        <f t="array" ref="D67">IFERROR(INDEX('03.11.20'!G:G,MATCH(1,(('03.11.20'!A:A=C67)*('03.11.20'!B:B="Saida Cdd/Fab        ")),0)),"")</f>
        <v/>
      </c>
      <c r="E67" s="34" t="str" cm="1">
        <f t="array" ref="E67">IFERROR(INDEX('03.11.20'!G:G,MATCH(1,(('03.11.20'!A:A=C67)*('03.11.20'!B:B="Entrada Cdd/Fab      ")),0)),"")</f>
        <v/>
      </c>
      <c r="F67" s="34" t="str" cm="1">
        <f t="array" ref="F67">IFERROR(INDEX('03.11.20'!G:G,MATCH(1,(('03.11.20'!A:A=C67)*('03.11.20'!B:B="PC_Fisica            ")),0)),"")</f>
        <v/>
      </c>
      <c r="G67" s="34" t="str" cm="1">
        <f t="array" ref="G67">IFERROR(INDEX('03.11.20'!G:G,MATCH(1,(('03.11.20'!A:A=C67)*('03.11.20'!B:B="PC_Financeira        ")),0)),"")</f>
        <v/>
      </c>
      <c r="H67" s="34" t="str">
        <f t="shared" si="31"/>
        <v/>
      </c>
      <c r="I67" s="34" t="e">
        <f t="shared" si="35"/>
        <v>#VALUE!</v>
      </c>
      <c r="J67" s="34" t="str">
        <f t="shared" si="36"/>
        <v/>
      </c>
      <c r="K67" s="34" t="str">
        <f t="shared" si="37"/>
        <v/>
      </c>
      <c r="L67" s="35" t="e">
        <f>VLOOKUP(C67,'03114902'!I:X,16,0)</f>
        <v>#N/A</v>
      </c>
      <c r="M67" s="34" t="e">
        <f>VLOOKUP(C67,'03114902'!I:W,15,0)</f>
        <v>#N/A</v>
      </c>
      <c r="N67" s="81" t="e">
        <f>VLOOKUP(C67,'03114902'!I:Z,18,0)</f>
        <v>#N/A</v>
      </c>
      <c r="O67" s="37" t="e">
        <f>VLOOKUP(C67,Tabela3[[Mapa]:[Motorista]],4,0)</f>
        <v>#N/A</v>
      </c>
      <c r="P67" s="38"/>
      <c r="Q67" s="38"/>
      <c r="R67" s="83"/>
      <c r="S67" s="39">
        <f t="shared" si="32"/>
        <v>0</v>
      </c>
      <c r="T67" s="39">
        <f t="shared" si="33"/>
        <v>0</v>
      </c>
      <c r="U67" s="40">
        <f t="shared" si="34"/>
        <v>0</v>
      </c>
    </row>
    <row r="68" spans="1:39" ht="15.75">
      <c r="A68" s="72" t="str">
        <f>'PCD SALAS'!C62</f>
        <v/>
      </c>
      <c r="B68" s="73" t="str">
        <f>'PCD SALAS'!D62</f>
        <v/>
      </c>
      <c r="C68" s="74" t="str">
        <f>'PCD SALAS'!E62</f>
        <v/>
      </c>
      <c r="D68" s="34" t="str" cm="1">
        <f t="array" ref="D68">IFERROR(INDEX('03.11.20'!G:G,MATCH(1,(('03.11.20'!A:A=C68)*('03.11.20'!B:B="Saida Cdd/Fab        ")),0)),"")</f>
        <v/>
      </c>
      <c r="E68" s="34" t="str" cm="1">
        <f t="array" ref="E68">IFERROR(INDEX('03.11.20'!G:G,MATCH(1,(('03.11.20'!A:A=C68)*('03.11.20'!B:B="Entrada Cdd/Fab      ")),0)),"")</f>
        <v/>
      </c>
      <c r="F68" s="34" t="str" cm="1">
        <f t="array" ref="F68">IFERROR(INDEX('03.11.20'!G:G,MATCH(1,(('03.11.20'!A:A=C68)*('03.11.20'!B:B="PC_Fisica            ")),0)),"")</f>
        <v/>
      </c>
      <c r="G68" s="34" t="str" cm="1">
        <f t="array" ref="G68">IFERROR(INDEX('03.11.20'!G:G,MATCH(1,(('03.11.20'!A:A=C68)*('03.11.20'!B:B="PC_Financeira        ")),0)),"")</f>
        <v/>
      </c>
      <c r="H68" s="34" t="str">
        <f t="shared" si="31"/>
        <v/>
      </c>
      <c r="I68" s="34" t="e">
        <f t="shared" si="35"/>
        <v>#VALUE!</v>
      </c>
      <c r="J68" s="34" t="str">
        <f t="shared" si="36"/>
        <v/>
      </c>
      <c r="K68" s="34" t="str">
        <f t="shared" si="37"/>
        <v/>
      </c>
      <c r="L68" s="35" t="e">
        <f>VLOOKUP(C68,'03114902'!I:X,16,0)</f>
        <v>#N/A</v>
      </c>
      <c r="M68" s="34" t="e">
        <f>VLOOKUP(C68,'03114902'!I:W,15,0)</f>
        <v>#N/A</v>
      </c>
      <c r="N68" s="81" t="e">
        <f>VLOOKUP(C68,'03114902'!I:Z,18,0)</f>
        <v>#N/A</v>
      </c>
      <c r="O68" s="37" t="e">
        <f>VLOOKUP(C68,Tabela3[[Mapa]:[Motorista]],4,0)</f>
        <v>#N/A</v>
      </c>
      <c r="P68" s="38"/>
      <c r="Q68" s="38"/>
      <c r="R68" s="83"/>
      <c r="S68" s="39">
        <f t="shared" si="32"/>
        <v>0</v>
      </c>
      <c r="T68" s="39">
        <f t="shared" si="33"/>
        <v>0</v>
      </c>
      <c r="U68" s="40">
        <f t="shared" si="34"/>
        <v>0</v>
      </c>
    </row>
    <row r="69" spans="1:39" ht="15.75">
      <c r="A69" s="72" t="str">
        <f>'PCD SALAS'!C63</f>
        <v/>
      </c>
      <c r="B69" s="73" t="str">
        <f>'PCD SALAS'!D63</f>
        <v/>
      </c>
      <c r="C69" s="74" t="str">
        <f>'PCD SALAS'!E63</f>
        <v/>
      </c>
      <c r="D69" s="34" t="str" cm="1">
        <f t="array" ref="D69">IFERROR(INDEX('03.11.20'!G:G,MATCH(1,(('03.11.20'!A:A=C69)*('03.11.20'!B:B="Saida Cdd/Fab        ")),0)),"")</f>
        <v/>
      </c>
      <c r="E69" s="34" t="str" cm="1">
        <f t="array" ref="E69">IFERROR(INDEX('03.11.20'!G:G,MATCH(1,(('03.11.20'!A:A=C69)*('03.11.20'!B:B="Entrada Cdd/Fab      ")),0)),"")</f>
        <v/>
      </c>
      <c r="F69" s="34" t="str" cm="1">
        <f t="array" ref="F69">IFERROR(INDEX('03.11.20'!G:G,MATCH(1,(('03.11.20'!A:A=C69)*('03.11.20'!B:B="PC_Fisica            ")),0)),"")</f>
        <v/>
      </c>
      <c r="G69" s="34" t="str" cm="1">
        <f t="array" ref="G69">IFERROR(INDEX('03.11.20'!G:G,MATCH(1,(('03.11.20'!A:A=C69)*('03.11.20'!B:B="PC_Financeira        ")),0)),"")</f>
        <v/>
      </c>
      <c r="H69" s="34" t="str">
        <f t="shared" si="31"/>
        <v/>
      </c>
      <c r="I69" s="34" t="e">
        <f t="shared" si="35"/>
        <v>#VALUE!</v>
      </c>
      <c r="J69" s="34" t="str">
        <f t="shared" si="36"/>
        <v/>
      </c>
      <c r="K69" s="34" t="str">
        <f t="shared" si="37"/>
        <v/>
      </c>
      <c r="L69" s="35" t="e">
        <f>VLOOKUP(C69,'03114902'!I:X,16,0)</f>
        <v>#N/A</v>
      </c>
      <c r="M69" s="34" t="e">
        <f>VLOOKUP(C69,'03114902'!I:W,15,0)</f>
        <v>#N/A</v>
      </c>
      <c r="N69" s="81" t="e">
        <f>VLOOKUP(C69,'03114902'!I:Z,18,0)</f>
        <v>#N/A</v>
      </c>
      <c r="O69" s="37" t="e">
        <f>VLOOKUP(C69,Tabela3[[Mapa]:[Motorista]],4,0)</f>
        <v>#N/A</v>
      </c>
      <c r="P69" s="38"/>
      <c r="Q69" s="38"/>
      <c r="R69" s="83"/>
      <c r="S69" s="39">
        <f t="shared" si="32"/>
        <v>0</v>
      </c>
      <c r="T69" s="39">
        <f t="shared" si="33"/>
        <v>0</v>
      </c>
      <c r="U69" s="40">
        <f t="shared" si="34"/>
        <v>0</v>
      </c>
    </row>
    <row r="70" spans="1:39" ht="15.75">
      <c r="A70" s="72" t="str">
        <f>'PCD SALAS'!C64</f>
        <v/>
      </c>
      <c r="B70" s="73" t="str">
        <f>'PCD SALAS'!D64</f>
        <v/>
      </c>
      <c r="C70" s="74" t="str">
        <f>'PCD SALAS'!E64</f>
        <v/>
      </c>
      <c r="D70" s="34" t="str" cm="1">
        <f t="array" ref="D70">IFERROR(INDEX('03.11.20'!G:G,MATCH(1,(('03.11.20'!A:A=C70)*('03.11.20'!B:B="Saida Cdd/Fab        ")),0)),"")</f>
        <v/>
      </c>
      <c r="E70" s="34" t="str" cm="1">
        <f t="array" ref="E70">IFERROR(INDEX('03.11.20'!G:G,MATCH(1,(('03.11.20'!A:A=C70)*('03.11.20'!B:B="Entrada Cdd/Fab      ")),0)),"")</f>
        <v/>
      </c>
      <c r="F70" s="34" t="str" cm="1">
        <f t="array" ref="F70">IFERROR(INDEX('03.11.20'!G:G,MATCH(1,(('03.11.20'!A:A=C70)*('03.11.20'!B:B="PC_Fisica            ")),0)),"")</f>
        <v/>
      </c>
      <c r="G70" s="34" t="str" cm="1">
        <f t="array" ref="G70">IFERROR(INDEX('03.11.20'!G:G,MATCH(1,(('03.11.20'!A:A=C70)*('03.11.20'!B:B="PC_Financeira        ")),0)),"")</f>
        <v/>
      </c>
      <c r="H70" s="34" t="str">
        <f t="shared" si="31"/>
        <v/>
      </c>
      <c r="I70" s="34" t="e">
        <f t="shared" si="35"/>
        <v>#VALUE!</v>
      </c>
      <c r="J70" s="34" t="str">
        <f t="shared" si="36"/>
        <v/>
      </c>
      <c r="K70" s="34" t="str">
        <f t="shared" si="37"/>
        <v/>
      </c>
      <c r="L70" s="35" t="e">
        <f>VLOOKUP(C70,'03114902'!I:X,16,0)</f>
        <v>#N/A</v>
      </c>
      <c r="M70" s="34" t="e">
        <f>VLOOKUP(C70,'03114902'!I:W,15,0)</f>
        <v>#N/A</v>
      </c>
      <c r="N70" s="81" t="e">
        <f>VLOOKUP(C70,'03114902'!I:Z,18,0)</f>
        <v>#N/A</v>
      </c>
      <c r="O70" s="37" t="e">
        <f>VLOOKUP(C70,Tabela3[[Mapa]:[Motorista]],4,0)</f>
        <v>#N/A</v>
      </c>
      <c r="P70" s="38"/>
      <c r="Q70" s="38"/>
      <c r="R70" s="83"/>
      <c r="S70" s="39">
        <f t="shared" si="32"/>
        <v>0</v>
      </c>
      <c r="T70" s="39">
        <f t="shared" si="33"/>
        <v>0</v>
      </c>
      <c r="U70" s="40">
        <f t="shared" si="34"/>
        <v>0</v>
      </c>
    </row>
    <row r="71" spans="1:39" ht="15.75">
      <c r="A71" s="72" t="str">
        <f>'PCD SALAS'!C65</f>
        <v/>
      </c>
      <c r="B71" s="73" t="str">
        <f>'PCD SALAS'!D65</f>
        <v/>
      </c>
      <c r="C71" s="74" t="str">
        <f>'PCD SALAS'!E65</f>
        <v/>
      </c>
      <c r="D71" s="34" t="str" cm="1">
        <f t="array" ref="D71">IFERROR(INDEX('03.11.20'!G:G,MATCH(1,(('03.11.20'!A:A=C71)*('03.11.20'!B:B="Saida Cdd/Fab        ")),0)),"")</f>
        <v/>
      </c>
      <c r="E71" s="34" t="str" cm="1">
        <f t="array" ref="E71">IFERROR(INDEX('03.11.20'!G:G,MATCH(1,(('03.11.20'!A:A=C71)*('03.11.20'!B:B="Entrada Cdd/Fab      ")),0)),"")</f>
        <v/>
      </c>
      <c r="F71" s="34" t="str" cm="1">
        <f t="array" ref="F71">IFERROR(INDEX('03.11.20'!G:G,MATCH(1,(('03.11.20'!A:A=C71)*('03.11.20'!B:B="PC_Fisica            ")),0)),"")</f>
        <v/>
      </c>
      <c r="G71" s="34" t="str" cm="1">
        <f t="array" ref="G71">IFERROR(INDEX('03.11.20'!G:G,MATCH(1,(('03.11.20'!A:A=C71)*('03.11.20'!B:B="PC_Financeira        ")),0)),"")</f>
        <v/>
      </c>
      <c r="H71" s="34" t="str">
        <f t="shared" si="31"/>
        <v/>
      </c>
      <c r="I71" s="34" t="e">
        <f t="shared" si="35"/>
        <v>#VALUE!</v>
      </c>
      <c r="J71" s="34" t="str">
        <f t="shared" si="36"/>
        <v/>
      </c>
      <c r="K71" s="34" t="str">
        <f t="shared" si="37"/>
        <v/>
      </c>
      <c r="L71" s="35" t="e">
        <f>VLOOKUP(C71,'03114902'!I:X,16,0)</f>
        <v>#N/A</v>
      </c>
      <c r="M71" s="34" t="e">
        <f>VLOOKUP(C71,'03114902'!I:W,15,0)</f>
        <v>#N/A</v>
      </c>
      <c r="N71" s="81" t="e">
        <f>VLOOKUP(C71,'03114902'!I:Z,18,0)</f>
        <v>#N/A</v>
      </c>
      <c r="O71" s="37" t="e">
        <f>VLOOKUP(C71,Tabela3[[Mapa]:[Motorista]],4,0)</f>
        <v>#N/A</v>
      </c>
      <c r="P71" s="38"/>
      <c r="Q71" s="38"/>
      <c r="R71" s="83"/>
      <c r="S71" s="39">
        <f t="shared" si="32"/>
        <v>0</v>
      </c>
      <c r="T71" s="39">
        <f t="shared" si="33"/>
        <v>0</v>
      </c>
      <c r="U71" s="40">
        <f t="shared" si="34"/>
        <v>0</v>
      </c>
      <c r="AJ71" s="6"/>
      <c r="AK71" s="16"/>
      <c r="AL71" s="6"/>
      <c r="AM71" s="16"/>
    </row>
    <row r="72" spans="1:39" ht="15.75">
      <c r="A72" s="72" t="str">
        <f>'PCD SALAS'!C66</f>
        <v/>
      </c>
      <c r="B72" s="73" t="str">
        <f>'PCD SALAS'!D66</f>
        <v/>
      </c>
      <c r="C72" s="74" t="str">
        <f>'PCD SALAS'!E66</f>
        <v/>
      </c>
      <c r="D72" s="34" t="str" cm="1">
        <f t="array" ref="D72">IFERROR(INDEX('03.11.20'!G:G,MATCH(1,(('03.11.20'!A:A=C72)*('03.11.20'!B:B="Saida Cdd/Fab        ")),0)),"")</f>
        <v/>
      </c>
      <c r="E72" s="34" t="str" cm="1">
        <f t="array" ref="E72">IFERROR(INDEX('03.11.20'!G:G,MATCH(1,(('03.11.20'!A:A=C72)*('03.11.20'!B:B="Entrada Cdd/Fab      ")),0)),"")</f>
        <v/>
      </c>
      <c r="F72" s="34" t="str" cm="1">
        <f t="array" ref="F72">IFERROR(INDEX('03.11.20'!G:G,MATCH(1,(('03.11.20'!A:A=C72)*('03.11.20'!B:B="PC_Fisica            ")),0)),"")</f>
        <v/>
      </c>
      <c r="G72" s="34" t="str" cm="1">
        <f t="array" ref="G72">IFERROR(INDEX('03.11.20'!G:G,MATCH(1,(('03.11.20'!A:A=C72)*('03.11.20'!B:B="PC_Financeira        ")),0)),"")</f>
        <v/>
      </c>
      <c r="H72" s="34" t="str">
        <f t="shared" si="31"/>
        <v/>
      </c>
      <c r="I72" s="34" t="e">
        <f t="shared" si="35"/>
        <v>#VALUE!</v>
      </c>
      <c r="J72" s="34" t="str">
        <f t="shared" si="36"/>
        <v/>
      </c>
      <c r="K72" s="34" t="str">
        <f t="shared" si="37"/>
        <v/>
      </c>
      <c r="L72" s="35" t="e">
        <f>VLOOKUP(C72,'03114902'!I:X,16,0)</f>
        <v>#N/A</v>
      </c>
      <c r="M72" s="34" t="e">
        <f>VLOOKUP(C72,'03114902'!I:W,15,0)</f>
        <v>#N/A</v>
      </c>
      <c r="N72" s="81" t="e">
        <f>VLOOKUP(C72,'03114902'!I:Z,18,0)</f>
        <v>#N/A</v>
      </c>
      <c r="O72" s="37" t="e">
        <f>VLOOKUP(C72,Tabela3[[Mapa]:[Motorista]],4,0)</f>
        <v>#N/A</v>
      </c>
      <c r="P72" s="38"/>
      <c r="Q72" s="38"/>
      <c r="R72" s="83"/>
      <c r="S72" s="39">
        <f t="shared" si="32"/>
        <v>0</v>
      </c>
      <c r="T72" s="39">
        <f t="shared" si="33"/>
        <v>0</v>
      </c>
      <c r="U72" s="40">
        <f t="shared" si="34"/>
        <v>0</v>
      </c>
    </row>
    <row r="73" spans="1:39" ht="15.75">
      <c r="A73" s="72" t="str">
        <f>'PCD SALAS'!C67</f>
        <v/>
      </c>
      <c r="B73" s="73" t="str">
        <f>'PCD SALAS'!D67</f>
        <v/>
      </c>
      <c r="C73" s="74" t="str">
        <f>'PCD SALAS'!E67</f>
        <v/>
      </c>
      <c r="D73" s="34" t="str" cm="1">
        <f t="array" ref="D73">IFERROR(INDEX('03.11.20'!G:G,MATCH(1,(('03.11.20'!A:A=C73)*('03.11.20'!B:B="Saida Cdd/Fab        ")),0)),"")</f>
        <v/>
      </c>
      <c r="E73" s="34" t="str" cm="1">
        <f t="array" ref="E73">IFERROR(INDEX('03.11.20'!G:G,MATCH(1,(('03.11.20'!A:A=C73)*('03.11.20'!B:B="Entrada Cdd/Fab      ")),0)),"")</f>
        <v/>
      </c>
      <c r="F73" s="34" t="str" cm="1">
        <f t="array" ref="F73">IFERROR(INDEX('03.11.20'!G:G,MATCH(1,(('03.11.20'!A:A=C73)*('03.11.20'!B:B="PC_Fisica            ")),0)),"")</f>
        <v/>
      </c>
      <c r="G73" s="34" t="str" cm="1">
        <f t="array" ref="G73">IFERROR(INDEX('03.11.20'!G:G,MATCH(1,(('03.11.20'!A:A=C73)*('03.11.20'!B:B="PC_Financeira        ")),0)),"")</f>
        <v/>
      </c>
      <c r="H73" s="34" t="str">
        <f t="shared" si="31"/>
        <v/>
      </c>
      <c r="I73" s="34" t="e">
        <f t="shared" si="35"/>
        <v>#VALUE!</v>
      </c>
      <c r="J73" s="34" t="str">
        <f t="shared" si="36"/>
        <v/>
      </c>
      <c r="K73" s="34" t="str">
        <f t="shared" si="37"/>
        <v/>
      </c>
      <c r="L73" s="35" t="e">
        <f>VLOOKUP(C73,'03114902'!I:X,16,0)</f>
        <v>#N/A</v>
      </c>
      <c r="M73" s="34" t="e">
        <f>VLOOKUP(C73,'03114902'!I:W,15,0)</f>
        <v>#N/A</v>
      </c>
      <c r="N73" s="81" t="e">
        <f>VLOOKUP(C73,'03114902'!I:Z,18,0)</f>
        <v>#N/A</v>
      </c>
      <c r="O73" s="37" t="e">
        <f>VLOOKUP(C73,Tabela3[[Mapa]:[Motorista]],4,0)</f>
        <v>#N/A</v>
      </c>
      <c r="P73" s="38"/>
      <c r="Q73" s="38"/>
      <c r="R73" s="83"/>
      <c r="S73" s="39">
        <f t="shared" si="32"/>
        <v>0</v>
      </c>
      <c r="T73" s="39">
        <f t="shared" si="33"/>
        <v>0</v>
      </c>
      <c r="U73" s="40">
        <f t="shared" si="34"/>
        <v>0</v>
      </c>
    </row>
    <row r="74" spans="1:39" ht="15.75">
      <c r="A74" s="72" t="str">
        <f>'PCD SALAS'!C68</f>
        <v/>
      </c>
      <c r="B74" s="73" t="str">
        <f>'PCD SALAS'!D68</f>
        <v/>
      </c>
      <c r="C74" s="74" t="str">
        <f>'PCD SALAS'!E68</f>
        <v/>
      </c>
      <c r="D74" s="34" t="str" cm="1">
        <f t="array" ref="D74">IFERROR(INDEX('03.11.20'!G:G,MATCH(1,(('03.11.20'!A:A=C74)*('03.11.20'!B:B="Saida Cdd/Fab        ")),0)),"")</f>
        <v/>
      </c>
      <c r="E74" s="34" t="str" cm="1">
        <f t="array" ref="E74">IFERROR(INDEX('03.11.20'!G:G,MATCH(1,(('03.11.20'!A:A=C74)*('03.11.20'!B:B="Entrada Cdd/Fab      ")),0)),"")</f>
        <v/>
      </c>
      <c r="F74" s="34" t="str" cm="1">
        <f t="array" ref="F74">IFERROR(INDEX('03.11.20'!G:G,MATCH(1,(('03.11.20'!A:A=C74)*('03.11.20'!B:B="PC_Fisica            ")),0)),"")</f>
        <v/>
      </c>
      <c r="G74" s="34" t="str" cm="1">
        <f t="array" ref="G74">IFERROR(INDEX('03.11.20'!G:G,MATCH(1,(('03.11.20'!A:A=C74)*('03.11.20'!B:B="PC_Financeira        ")),0)),"")</f>
        <v/>
      </c>
      <c r="H74" s="34" t="str">
        <f t="shared" si="31"/>
        <v/>
      </c>
      <c r="I74" s="34" t="e">
        <f t="shared" si="35"/>
        <v>#VALUE!</v>
      </c>
      <c r="J74" s="34" t="str">
        <f t="shared" si="36"/>
        <v/>
      </c>
      <c r="K74" s="34" t="str">
        <f t="shared" si="37"/>
        <v/>
      </c>
      <c r="L74" s="35" t="e">
        <f>VLOOKUP(C74,'03114902'!I:X,16,0)</f>
        <v>#N/A</v>
      </c>
      <c r="M74" s="34" t="e">
        <f>VLOOKUP(C74,'03114902'!I:W,15,0)</f>
        <v>#N/A</v>
      </c>
      <c r="N74" s="81" t="e">
        <f>VLOOKUP(C74,'03114902'!I:Z,18,0)</f>
        <v>#N/A</v>
      </c>
      <c r="O74" s="37" t="e">
        <f>VLOOKUP(C74,Tabela3[[Mapa]:[Motorista]],4,0)</f>
        <v>#N/A</v>
      </c>
      <c r="P74" s="38"/>
      <c r="Q74" s="38"/>
      <c r="R74" s="83"/>
      <c r="S74" s="39">
        <f t="shared" si="32"/>
        <v>0</v>
      </c>
      <c r="T74" s="39">
        <f t="shared" si="33"/>
        <v>0</v>
      </c>
      <c r="U74" s="40">
        <f t="shared" si="34"/>
        <v>0</v>
      </c>
    </row>
    <row r="80" spans="1:39">
      <c r="AJ80" s="6"/>
      <c r="AK80" s="16"/>
      <c r="AL80" s="6"/>
      <c r="AM80" s="16"/>
    </row>
    <row r="89" spans="36:39">
      <c r="AJ89" s="6"/>
      <c r="AK89" s="16"/>
      <c r="AL89" s="6"/>
      <c r="AM89" s="16"/>
    </row>
    <row r="98" spans="36:39">
      <c r="AJ98" s="6"/>
      <c r="AK98" s="16"/>
      <c r="AL98" s="6"/>
      <c r="AM98" s="16"/>
    </row>
    <row r="107" spans="36:39">
      <c r="AJ107" s="6"/>
      <c r="AK107" s="16"/>
      <c r="AL107" s="6"/>
      <c r="AM107" s="16"/>
    </row>
    <row r="116" spans="36:39">
      <c r="AJ116" s="6"/>
      <c r="AK116" s="16"/>
      <c r="AL116" s="6"/>
      <c r="AM116" s="16"/>
    </row>
    <row r="125" spans="36:39">
      <c r="AJ125" s="6"/>
      <c r="AK125" s="16"/>
      <c r="AL125" s="6"/>
      <c r="AM125" s="16"/>
    </row>
    <row r="132" spans="36:39">
      <c r="AJ132" s="6"/>
      <c r="AL132" s="6"/>
    </row>
    <row r="133" spans="36:39">
      <c r="AJ133" s="6"/>
      <c r="AL133" s="6"/>
    </row>
    <row r="139" spans="36:39">
      <c r="AJ139" s="6"/>
      <c r="AK139" s="16"/>
      <c r="AL139" s="6"/>
      <c r="AM139" s="16"/>
    </row>
    <row r="148" spans="36:38">
      <c r="AJ148" s="6"/>
      <c r="AL148" s="6"/>
    </row>
    <row r="149" spans="36:38">
      <c r="AJ149" s="6"/>
      <c r="AL149" s="6"/>
    </row>
    <row r="154" spans="36:38">
      <c r="AJ154" s="6"/>
      <c r="AL154" s="6"/>
    </row>
    <row r="155" spans="36:38">
      <c r="AJ155" s="6"/>
      <c r="AL155" s="6"/>
    </row>
    <row r="160" spans="36:38">
      <c r="AJ160" s="6"/>
      <c r="AL160" s="6"/>
    </row>
    <row r="161" spans="36:38">
      <c r="AJ161" s="6"/>
      <c r="AL161" s="6"/>
    </row>
  </sheetData>
  <mergeCells count="55">
    <mergeCell ref="V43:V44"/>
    <mergeCell ref="W43:W44"/>
    <mergeCell ref="X43:X44"/>
    <mergeCell ref="Y43:Y44"/>
    <mergeCell ref="V38:V40"/>
    <mergeCell ref="W38:W40"/>
    <mergeCell ref="X38:X40"/>
    <mergeCell ref="Y38:Y40"/>
    <mergeCell ref="V41:Y41"/>
    <mergeCell ref="V34:Y35"/>
    <mergeCell ref="V36:W36"/>
    <mergeCell ref="X36:Y36"/>
    <mergeCell ref="V31:V32"/>
    <mergeCell ref="W31:W32"/>
    <mergeCell ref="X31:X32"/>
    <mergeCell ref="Y31:Y32"/>
    <mergeCell ref="V27:V28"/>
    <mergeCell ref="W27:W28"/>
    <mergeCell ref="X27:X28"/>
    <mergeCell ref="Y27:Y28"/>
    <mergeCell ref="V29:Y29"/>
    <mergeCell ref="A40:Q40"/>
    <mergeCell ref="A20:Q20"/>
    <mergeCell ref="A47:Q47"/>
    <mergeCell ref="A53:Q53"/>
    <mergeCell ref="V13:Y13"/>
    <mergeCell ref="V15:V16"/>
    <mergeCell ref="W15:W16"/>
    <mergeCell ref="X15:X16"/>
    <mergeCell ref="Y15:Y16"/>
    <mergeCell ref="A18:G18"/>
    <mergeCell ref="V21:Y21"/>
    <mergeCell ref="V23:V24"/>
    <mergeCell ref="W23:W24"/>
    <mergeCell ref="X23:X24"/>
    <mergeCell ref="Y23:Y24"/>
    <mergeCell ref="V25:Y25"/>
    <mergeCell ref="V9:Y9"/>
    <mergeCell ref="AA9:AB9"/>
    <mergeCell ref="AA10:AB10"/>
    <mergeCell ref="V11:V12"/>
    <mergeCell ref="W11:W12"/>
    <mergeCell ref="X11:X12"/>
    <mergeCell ref="Y11:Y12"/>
    <mergeCell ref="AA11:AB11"/>
    <mergeCell ref="AA12:AB12"/>
    <mergeCell ref="A4:Q4"/>
    <mergeCell ref="V5:Y5"/>
    <mergeCell ref="AA5:AB5"/>
    <mergeCell ref="AA6:AB7"/>
    <mergeCell ref="V7:V8"/>
    <mergeCell ref="W7:W8"/>
    <mergeCell ref="X7:X8"/>
    <mergeCell ref="Y7:Y8"/>
    <mergeCell ref="AA8:AB8"/>
  </mergeCells>
  <conditionalFormatting sqref="F6:G17">
    <cfRule type="cellIs" dxfId="1201" priority="4" operator="greaterThan">
      <formula>$G$1</formula>
    </cfRule>
  </conditionalFormatting>
  <conditionalFormatting sqref="F22:G39 F42:G45">
    <cfRule type="cellIs" dxfId="1200" priority="3" operator="greaterThan">
      <formula>$G$2</formula>
    </cfRule>
  </conditionalFormatting>
  <conditionalFormatting sqref="G1">
    <cfRule type="cellIs" dxfId="1199" priority="26" operator="greaterThan">
      <formula>$G$1</formula>
    </cfRule>
  </conditionalFormatting>
  <conditionalFormatting sqref="H6:H17">
    <cfRule type="cellIs" dxfId="1198" priority="5" operator="greaterThan">
      <formula>0.0208333333333333</formula>
    </cfRule>
  </conditionalFormatting>
  <conditionalFormatting sqref="H6:H18 A19:G19 H22:H39 H42:H45 F46:G46 H49 F50:G52 H55:H74">
    <cfRule type="cellIs" dxfId="1197" priority="27" operator="greaterThan">
      <formula>$G$1</formula>
    </cfRule>
  </conditionalFormatting>
  <conditionalFormatting sqref="H6:H18 H42:H45 H22:H39 A19:G19 F46:G46 H49 F50:G52 H55:H74">
    <cfRule type="cellIs" dxfId="1196" priority="25" operator="between">
      <formula>$F$1</formula>
      <formula>$G$1</formula>
    </cfRule>
  </conditionalFormatting>
  <conditionalFormatting sqref="H22:H39">
    <cfRule type="cellIs" dxfId="1195" priority="1" operator="greaterThan">
      <formula>0.0208333333333333</formula>
    </cfRule>
  </conditionalFormatting>
  <conditionalFormatting sqref="H42:H45">
    <cfRule type="cellIs" dxfId="1194" priority="2" operator="greaterThan">
      <formula>0.0208333333333333</formula>
    </cfRule>
  </conditionalFormatting>
  <conditionalFormatting sqref="AA6:AB7">
    <cfRule type="cellIs" dxfId="1193" priority="23" operator="lessThan">
      <formula>0.0138888888888889</formula>
    </cfRule>
    <cfRule type="cellIs" dxfId="1192" priority="24" operator="greaterThan">
      <formula>0.0138888888888889</formula>
    </cfRule>
  </conditionalFormatting>
  <pageMargins left="0.511811024" right="0.511811024" top="0.78740157499999996" bottom="0.78740157499999996" header="0.31496062000000002" footer="0.31496062000000002"/>
  <pageSetup paperSize="9" scale="37" fitToWidth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6DB02-735B-45E6-942D-0748A421B2A8}">
  <dimension ref="E2:Q296"/>
  <sheetViews>
    <sheetView workbookViewId="0">
      <selection activeCell="I8" sqref="I8"/>
    </sheetView>
  </sheetViews>
  <sheetFormatPr defaultRowHeight="15"/>
  <sheetData>
    <row r="2" spans="5:17">
      <c r="E2" s="6"/>
      <c r="F2" s="6"/>
      <c r="G2" s="16"/>
    </row>
    <row r="3" spans="5:17">
      <c r="E3" s="6"/>
      <c r="F3" s="6"/>
      <c r="G3" s="16"/>
    </row>
    <row r="4" spans="5:17">
      <c r="E4" s="6"/>
      <c r="F4" s="6"/>
      <c r="G4" s="16"/>
    </row>
    <row r="5" spans="5:17">
      <c r="E5" s="6"/>
      <c r="F5" s="6"/>
      <c r="G5" s="16"/>
    </row>
    <row r="6" spans="5:17">
      <c r="E6" s="6"/>
      <c r="F6" s="6"/>
      <c r="G6" s="16"/>
      <c r="N6" s="6"/>
      <c r="O6" s="16"/>
      <c r="P6" s="6"/>
      <c r="Q6" s="16"/>
    </row>
    <row r="7" spans="5:17">
      <c r="E7" s="6"/>
      <c r="F7" s="6"/>
      <c r="G7" s="16"/>
    </row>
    <row r="8" spans="5:17">
      <c r="E8" s="6"/>
      <c r="F8" s="6"/>
      <c r="G8" s="16"/>
    </row>
    <row r="9" spans="5:17">
      <c r="E9" s="6"/>
      <c r="F9" s="6"/>
      <c r="G9" s="16"/>
    </row>
    <row r="10" spans="5:17">
      <c r="E10" s="6"/>
      <c r="F10" s="6"/>
      <c r="G10" s="16"/>
    </row>
    <row r="11" spans="5:17">
      <c r="E11" s="6"/>
      <c r="F11" s="6"/>
      <c r="G11" s="16"/>
      <c r="N11" s="6"/>
      <c r="O11" s="16"/>
      <c r="P11" s="6"/>
      <c r="Q11" s="16"/>
    </row>
    <row r="12" spans="5:17">
      <c r="E12" s="6"/>
      <c r="F12" s="6"/>
      <c r="G12" s="16"/>
    </row>
    <row r="13" spans="5:17">
      <c r="E13" s="6"/>
      <c r="F13" s="6"/>
      <c r="G13" s="16"/>
    </row>
    <row r="14" spans="5:17">
      <c r="E14" s="6"/>
      <c r="F14" s="6"/>
      <c r="G14" s="16"/>
    </row>
    <row r="15" spans="5:17">
      <c r="E15" s="6"/>
      <c r="F15" s="6"/>
      <c r="G15" s="16"/>
    </row>
    <row r="16" spans="5:17">
      <c r="E16" s="6"/>
      <c r="F16" s="6"/>
      <c r="G16" s="16"/>
    </row>
    <row r="17" spans="5:17">
      <c r="E17" s="6"/>
      <c r="F17" s="6"/>
      <c r="G17" s="16"/>
      <c r="N17" s="6"/>
      <c r="O17" s="16"/>
      <c r="P17" s="6"/>
      <c r="Q17" s="16"/>
    </row>
    <row r="18" spans="5:17">
      <c r="E18" s="6"/>
      <c r="F18" s="6"/>
      <c r="G18" s="16"/>
    </row>
    <row r="19" spans="5:17">
      <c r="E19" s="6"/>
      <c r="F19" s="6"/>
      <c r="G19" s="16"/>
    </row>
    <row r="20" spans="5:17">
      <c r="E20" s="6"/>
      <c r="F20" s="6"/>
      <c r="G20" s="16"/>
    </row>
    <row r="21" spans="5:17">
      <c r="E21" s="6"/>
      <c r="F21" s="6"/>
      <c r="G21" s="16"/>
    </row>
    <row r="22" spans="5:17">
      <c r="E22" s="6"/>
      <c r="F22" s="6"/>
      <c r="G22" s="16"/>
    </row>
    <row r="23" spans="5:17">
      <c r="E23" s="6"/>
      <c r="F23" s="6"/>
      <c r="G23" s="16"/>
      <c r="N23" s="6"/>
      <c r="O23" s="16"/>
      <c r="P23" s="6"/>
      <c r="Q23" s="16"/>
    </row>
    <row r="24" spans="5:17">
      <c r="E24" s="6"/>
      <c r="F24" s="6"/>
      <c r="G24" s="16"/>
    </row>
    <row r="25" spans="5:17">
      <c r="E25" s="6"/>
      <c r="F25" s="6"/>
      <c r="G25" s="16"/>
    </row>
    <row r="26" spans="5:17">
      <c r="E26" s="6"/>
      <c r="F26" s="6"/>
      <c r="G26" s="16"/>
    </row>
    <row r="27" spans="5:17">
      <c r="E27" s="6"/>
      <c r="F27" s="6"/>
      <c r="G27" s="16"/>
    </row>
    <row r="28" spans="5:17">
      <c r="E28" s="6"/>
      <c r="F28" s="6"/>
      <c r="G28" s="16"/>
    </row>
    <row r="29" spans="5:17">
      <c r="E29" s="6"/>
      <c r="F29" s="6"/>
      <c r="G29" s="16"/>
      <c r="N29" s="6"/>
      <c r="O29" s="16"/>
      <c r="P29" s="6"/>
      <c r="Q29" s="16"/>
    </row>
    <row r="30" spans="5:17">
      <c r="E30" s="6"/>
      <c r="F30" s="6"/>
      <c r="G30" s="16"/>
    </row>
    <row r="31" spans="5:17">
      <c r="E31" s="6"/>
      <c r="F31" s="6"/>
      <c r="G31" s="16"/>
    </row>
    <row r="32" spans="5:17">
      <c r="E32" s="6"/>
      <c r="F32" s="6"/>
      <c r="G32" s="16"/>
    </row>
    <row r="33" spans="5:17">
      <c r="E33" s="6"/>
      <c r="F33" s="6"/>
      <c r="G33" s="16"/>
    </row>
    <row r="34" spans="5:17">
      <c r="E34" s="6"/>
      <c r="F34" s="6"/>
      <c r="G34" s="16"/>
    </row>
    <row r="35" spans="5:17">
      <c r="E35" s="6"/>
      <c r="F35" s="6"/>
      <c r="G35" s="16"/>
      <c r="N35" s="6"/>
      <c r="O35" s="16"/>
      <c r="P35" s="6"/>
      <c r="Q35" s="16"/>
    </row>
    <row r="36" spans="5:17">
      <c r="E36" s="6"/>
      <c r="F36" s="6"/>
      <c r="G36" s="16"/>
    </row>
    <row r="37" spans="5:17">
      <c r="E37" s="6"/>
      <c r="F37" s="6"/>
      <c r="G37" s="16"/>
    </row>
    <row r="38" spans="5:17">
      <c r="E38" s="6"/>
      <c r="F38" s="6"/>
      <c r="G38" s="16"/>
    </row>
    <row r="39" spans="5:17">
      <c r="E39" s="6"/>
      <c r="F39" s="6"/>
      <c r="G39" s="16"/>
    </row>
    <row r="40" spans="5:17">
      <c r="E40" s="6"/>
      <c r="F40" s="6"/>
      <c r="G40" s="16"/>
    </row>
    <row r="41" spans="5:17">
      <c r="E41" s="6"/>
      <c r="F41" s="6"/>
      <c r="G41" s="16"/>
      <c r="N41" s="6"/>
      <c r="O41" s="16"/>
      <c r="P41" s="6"/>
      <c r="Q41" s="16"/>
    </row>
    <row r="42" spans="5:17">
      <c r="E42" s="6"/>
      <c r="F42" s="6"/>
      <c r="G42" s="16"/>
    </row>
    <row r="43" spans="5:17">
      <c r="E43" s="6"/>
      <c r="F43" s="6"/>
      <c r="G43" s="16"/>
    </row>
    <row r="44" spans="5:17">
      <c r="E44" s="6"/>
      <c r="F44" s="6"/>
      <c r="G44" s="16"/>
    </row>
    <row r="45" spans="5:17">
      <c r="E45" s="6"/>
      <c r="F45" s="6"/>
      <c r="G45" s="16"/>
    </row>
    <row r="46" spans="5:17">
      <c r="E46" s="6"/>
      <c r="F46" s="6"/>
      <c r="G46" s="16"/>
    </row>
    <row r="47" spans="5:17">
      <c r="E47" s="6"/>
      <c r="F47" s="6"/>
      <c r="G47" s="16"/>
      <c r="N47" s="6"/>
      <c r="O47" s="16"/>
      <c r="P47" s="6"/>
      <c r="Q47" s="16"/>
    </row>
    <row r="48" spans="5:17">
      <c r="E48" s="6"/>
      <c r="F48" s="6"/>
      <c r="G48" s="16"/>
    </row>
    <row r="49" spans="5:17">
      <c r="E49" s="6"/>
      <c r="F49" s="6"/>
      <c r="G49" s="16"/>
    </row>
    <row r="50" spans="5:17">
      <c r="E50" s="6"/>
      <c r="F50" s="6"/>
      <c r="G50" s="16"/>
    </row>
    <row r="51" spans="5:17">
      <c r="E51" s="6"/>
      <c r="F51" s="6"/>
      <c r="G51" s="16"/>
    </row>
    <row r="52" spans="5:17">
      <c r="E52" s="6"/>
      <c r="F52" s="6"/>
      <c r="G52" s="16"/>
    </row>
    <row r="53" spans="5:17">
      <c r="E53" s="6"/>
      <c r="F53" s="6"/>
      <c r="G53" s="16"/>
      <c r="N53" s="6"/>
      <c r="O53" s="16"/>
      <c r="P53" s="6"/>
      <c r="Q53" s="16"/>
    </row>
    <row r="54" spans="5:17">
      <c r="E54" s="6"/>
      <c r="F54" s="6"/>
      <c r="G54" s="16"/>
    </row>
    <row r="55" spans="5:17">
      <c r="E55" s="6"/>
      <c r="F55" s="6"/>
      <c r="G55" s="16"/>
    </row>
    <row r="56" spans="5:17">
      <c r="E56" s="6"/>
      <c r="F56" s="6"/>
      <c r="G56" s="16"/>
    </row>
    <row r="57" spans="5:17">
      <c r="E57" s="6"/>
      <c r="F57" s="6"/>
      <c r="G57" s="16"/>
    </row>
    <row r="58" spans="5:17">
      <c r="E58" s="6"/>
      <c r="F58" s="6"/>
      <c r="G58" s="16"/>
      <c r="N58" s="6"/>
      <c r="O58" s="16"/>
      <c r="P58" s="6"/>
      <c r="Q58" s="16"/>
    </row>
    <row r="59" spans="5:17">
      <c r="E59" s="6"/>
      <c r="F59" s="6"/>
      <c r="G59" s="16"/>
    </row>
    <row r="60" spans="5:17">
      <c r="E60" s="6"/>
      <c r="F60" s="6"/>
      <c r="G60" s="16"/>
    </row>
    <row r="61" spans="5:17">
      <c r="E61" s="6"/>
      <c r="F61" s="6"/>
      <c r="G61" s="16"/>
    </row>
    <row r="62" spans="5:17">
      <c r="E62" s="6"/>
      <c r="F62" s="6"/>
      <c r="G62" s="16"/>
    </row>
    <row r="63" spans="5:17">
      <c r="E63" s="6"/>
      <c r="F63" s="6"/>
      <c r="G63" s="16"/>
    </row>
    <row r="64" spans="5:17">
      <c r="E64" s="6"/>
      <c r="F64" s="6"/>
      <c r="G64" s="16"/>
    </row>
    <row r="65" spans="5:17">
      <c r="E65" s="6"/>
      <c r="F65" s="6"/>
      <c r="G65" s="16"/>
      <c r="N65" s="6"/>
      <c r="O65" s="16"/>
      <c r="P65" s="6"/>
      <c r="Q65" s="16"/>
    </row>
    <row r="66" spans="5:17">
      <c r="E66" s="6"/>
      <c r="F66" s="6"/>
      <c r="G66" s="16"/>
    </row>
    <row r="67" spans="5:17">
      <c r="E67" s="6"/>
      <c r="F67" s="6"/>
      <c r="G67" s="16"/>
    </row>
    <row r="68" spans="5:17">
      <c r="E68" s="6"/>
      <c r="F68" s="6"/>
      <c r="G68" s="16"/>
    </row>
    <row r="69" spans="5:17">
      <c r="E69" s="6"/>
      <c r="F69" s="6"/>
      <c r="G69" s="16"/>
    </row>
    <row r="70" spans="5:17">
      <c r="E70" s="6"/>
      <c r="F70" s="6"/>
      <c r="G70" s="16"/>
    </row>
    <row r="71" spans="5:17">
      <c r="E71" s="6"/>
      <c r="F71" s="6"/>
      <c r="G71" s="16"/>
    </row>
    <row r="72" spans="5:17">
      <c r="E72" s="6"/>
      <c r="F72" s="6"/>
      <c r="G72" s="16"/>
    </row>
    <row r="73" spans="5:17">
      <c r="E73" s="6"/>
      <c r="F73" s="6"/>
      <c r="G73" s="16"/>
      <c r="N73" s="6"/>
      <c r="O73" s="16"/>
      <c r="P73" s="6"/>
      <c r="Q73" s="16"/>
    </row>
    <row r="74" spans="5:17">
      <c r="E74" s="6"/>
      <c r="F74" s="6"/>
      <c r="G74" s="16"/>
    </row>
    <row r="75" spans="5:17">
      <c r="E75" s="6"/>
      <c r="F75" s="6"/>
      <c r="G75" s="16"/>
    </row>
    <row r="76" spans="5:17">
      <c r="E76" s="6"/>
      <c r="F76" s="6"/>
      <c r="G76" s="16"/>
    </row>
    <row r="77" spans="5:17">
      <c r="E77" s="6"/>
      <c r="F77" s="6"/>
      <c r="G77" s="16"/>
    </row>
    <row r="78" spans="5:17">
      <c r="E78" s="6"/>
      <c r="F78" s="6"/>
      <c r="G78" s="16"/>
    </row>
    <row r="79" spans="5:17">
      <c r="E79" s="6"/>
      <c r="F79" s="6"/>
      <c r="G79" s="16"/>
      <c r="N79" s="6"/>
      <c r="O79" s="16"/>
      <c r="P79" s="6"/>
      <c r="Q79" s="16"/>
    </row>
    <row r="80" spans="5:17">
      <c r="E80" s="6"/>
      <c r="F80" s="6"/>
      <c r="G80" s="16"/>
    </row>
    <row r="81" spans="5:17">
      <c r="E81" s="6"/>
      <c r="F81" s="6"/>
      <c r="G81" s="16"/>
    </row>
    <row r="82" spans="5:17">
      <c r="E82" s="6"/>
      <c r="F82" s="6"/>
      <c r="G82" s="16"/>
    </row>
    <row r="83" spans="5:17">
      <c r="E83" s="6"/>
      <c r="F83" s="6"/>
      <c r="G83" s="16"/>
    </row>
    <row r="84" spans="5:17">
      <c r="E84" s="6"/>
      <c r="F84" s="6"/>
      <c r="G84" s="16"/>
    </row>
    <row r="85" spans="5:17">
      <c r="E85" s="6"/>
      <c r="F85" s="6"/>
      <c r="G85" s="16"/>
      <c r="N85" s="6"/>
      <c r="O85" s="16"/>
      <c r="P85" s="6"/>
      <c r="Q85" s="16"/>
    </row>
    <row r="86" spans="5:17">
      <c r="E86" s="6"/>
      <c r="F86" s="6"/>
      <c r="G86" s="16"/>
    </row>
    <row r="87" spans="5:17">
      <c r="E87" s="6"/>
      <c r="F87" s="6"/>
      <c r="G87" s="16"/>
    </row>
    <row r="88" spans="5:17">
      <c r="E88" s="6"/>
      <c r="F88" s="6"/>
      <c r="G88" s="16"/>
    </row>
    <row r="89" spans="5:17">
      <c r="E89" s="6"/>
      <c r="F89" s="6"/>
      <c r="G89" s="16"/>
    </row>
    <row r="90" spans="5:17">
      <c r="E90" s="6"/>
      <c r="F90" s="6"/>
      <c r="G90" s="16"/>
    </row>
    <row r="91" spans="5:17">
      <c r="E91" s="6"/>
      <c r="F91" s="6"/>
      <c r="G91" s="16"/>
      <c r="N91" s="6"/>
      <c r="O91" s="16"/>
      <c r="P91" s="6"/>
      <c r="Q91" s="16"/>
    </row>
    <row r="92" spans="5:17">
      <c r="E92" s="6"/>
      <c r="F92" s="6"/>
      <c r="G92" s="16"/>
    </row>
    <row r="93" spans="5:17">
      <c r="E93" s="6"/>
      <c r="F93" s="6"/>
      <c r="G93" s="16"/>
    </row>
    <row r="94" spans="5:17">
      <c r="E94" s="6"/>
      <c r="F94" s="6"/>
      <c r="G94" s="16"/>
    </row>
    <row r="95" spans="5:17">
      <c r="E95" s="6"/>
      <c r="F95" s="6"/>
      <c r="G95" s="16"/>
    </row>
    <row r="96" spans="5:17">
      <c r="E96" s="6"/>
      <c r="F96" s="6"/>
      <c r="G96" s="16"/>
    </row>
    <row r="97" spans="5:17">
      <c r="E97" s="6"/>
      <c r="F97" s="6"/>
      <c r="G97" s="16"/>
      <c r="N97" s="6"/>
      <c r="O97" s="16"/>
      <c r="P97" s="6"/>
      <c r="Q97" s="16"/>
    </row>
    <row r="98" spans="5:17">
      <c r="E98" s="6"/>
      <c r="F98" s="6"/>
      <c r="G98" s="16"/>
    </row>
    <row r="99" spans="5:17">
      <c r="E99" s="6"/>
      <c r="F99" s="6"/>
      <c r="G99" s="16"/>
    </row>
    <row r="100" spans="5:17">
      <c r="E100" s="6"/>
      <c r="F100" s="6"/>
      <c r="G100" s="16"/>
    </row>
    <row r="101" spans="5:17">
      <c r="E101" s="6"/>
      <c r="F101" s="6"/>
      <c r="G101" s="16"/>
    </row>
    <row r="102" spans="5:17">
      <c r="E102" s="6"/>
      <c r="F102" s="6"/>
      <c r="G102" s="16"/>
    </row>
    <row r="103" spans="5:17">
      <c r="E103" s="6"/>
      <c r="F103" s="6"/>
      <c r="G103" s="16"/>
      <c r="N103" s="6"/>
      <c r="O103" s="16"/>
      <c r="P103" s="6"/>
      <c r="Q103" s="16"/>
    </row>
    <row r="104" spans="5:17">
      <c r="E104" s="6"/>
      <c r="F104" s="6"/>
      <c r="G104" s="16"/>
    </row>
    <row r="105" spans="5:17">
      <c r="E105" s="6"/>
      <c r="F105" s="6"/>
      <c r="G105" s="16"/>
    </row>
    <row r="106" spans="5:17">
      <c r="E106" s="6"/>
      <c r="F106" s="6"/>
      <c r="G106" s="16"/>
    </row>
    <row r="107" spans="5:17">
      <c r="E107" s="6"/>
      <c r="F107" s="6"/>
      <c r="G107" s="16"/>
    </row>
    <row r="108" spans="5:17">
      <c r="E108" s="6"/>
      <c r="F108" s="6"/>
      <c r="G108" s="16"/>
    </row>
    <row r="109" spans="5:17">
      <c r="E109" s="6"/>
      <c r="F109" s="6"/>
      <c r="G109" s="16"/>
      <c r="N109" s="6"/>
      <c r="O109" s="16"/>
      <c r="P109" s="6"/>
      <c r="Q109" s="16"/>
    </row>
    <row r="110" spans="5:17">
      <c r="E110" s="6"/>
      <c r="F110" s="6"/>
      <c r="G110" s="16"/>
    </row>
    <row r="111" spans="5:17">
      <c r="E111" s="6"/>
      <c r="F111" s="6"/>
      <c r="G111" s="16"/>
    </row>
    <row r="112" spans="5:17">
      <c r="E112" s="6"/>
      <c r="F112" s="6"/>
      <c r="G112" s="16"/>
    </row>
    <row r="113" spans="5:17">
      <c r="E113" s="6"/>
      <c r="F113" s="6"/>
      <c r="G113" s="16"/>
    </row>
    <row r="114" spans="5:17">
      <c r="E114" s="6"/>
      <c r="F114" s="6"/>
      <c r="G114" s="16"/>
    </row>
    <row r="115" spans="5:17">
      <c r="E115" s="6"/>
      <c r="F115" s="6"/>
      <c r="G115" s="16"/>
      <c r="N115" s="6"/>
      <c r="O115" s="16"/>
      <c r="P115" s="6"/>
      <c r="Q115" s="16"/>
    </row>
    <row r="116" spans="5:17">
      <c r="E116" s="6"/>
      <c r="F116" s="6"/>
      <c r="G116" s="16"/>
    </row>
    <row r="117" spans="5:17">
      <c r="E117" s="6"/>
      <c r="F117" s="6"/>
      <c r="G117" s="16"/>
    </row>
    <row r="118" spans="5:17">
      <c r="E118" s="6"/>
      <c r="F118" s="6"/>
      <c r="G118" s="16"/>
    </row>
    <row r="119" spans="5:17">
      <c r="E119" s="6"/>
      <c r="F119" s="6"/>
      <c r="G119" s="16"/>
    </row>
    <row r="120" spans="5:17">
      <c r="E120" s="6"/>
      <c r="F120" s="6"/>
      <c r="G120" s="16"/>
      <c r="N120" s="6"/>
      <c r="O120" s="16"/>
      <c r="P120" s="6"/>
      <c r="Q120" s="16"/>
    </row>
    <row r="121" spans="5:17">
      <c r="E121" s="6"/>
      <c r="F121" s="6"/>
      <c r="G121" s="16"/>
    </row>
    <row r="122" spans="5:17">
      <c r="E122" s="6"/>
      <c r="F122" s="6"/>
      <c r="G122" s="16"/>
    </row>
    <row r="123" spans="5:17">
      <c r="E123" s="6"/>
      <c r="F123" s="6"/>
      <c r="G123" s="16"/>
    </row>
    <row r="124" spans="5:17">
      <c r="E124" s="6"/>
      <c r="F124" s="6"/>
      <c r="G124" s="16"/>
    </row>
    <row r="125" spans="5:17">
      <c r="E125" s="6"/>
      <c r="F125" s="6"/>
      <c r="G125" s="16"/>
    </row>
    <row r="126" spans="5:17">
      <c r="E126" s="6"/>
      <c r="F126" s="6"/>
      <c r="G126" s="16"/>
      <c r="N126" s="6"/>
      <c r="O126" s="16"/>
      <c r="P126" s="6"/>
      <c r="Q126" s="16"/>
    </row>
    <row r="127" spans="5:17">
      <c r="E127" s="6"/>
      <c r="F127" s="6"/>
      <c r="G127" s="16"/>
    </row>
    <row r="128" spans="5:17">
      <c r="E128" s="6"/>
      <c r="F128" s="6"/>
      <c r="G128" s="16"/>
    </row>
    <row r="129" spans="5:17">
      <c r="E129" s="6"/>
      <c r="F129" s="6"/>
      <c r="G129" s="16"/>
    </row>
    <row r="130" spans="5:17">
      <c r="E130" s="6"/>
      <c r="F130" s="6"/>
      <c r="G130" s="16"/>
    </row>
    <row r="131" spans="5:17">
      <c r="E131" s="6"/>
      <c r="F131" s="6"/>
      <c r="G131" s="16"/>
    </row>
    <row r="132" spans="5:17">
      <c r="E132" s="6"/>
      <c r="F132" s="6"/>
      <c r="G132" s="16"/>
      <c r="N132" s="6"/>
      <c r="O132" s="16"/>
      <c r="P132" s="6"/>
      <c r="Q132" s="16"/>
    </row>
    <row r="133" spans="5:17">
      <c r="E133" s="6"/>
      <c r="F133" s="6"/>
      <c r="G133" s="16"/>
    </row>
    <row r="134" spans="5:17">
      <c r="E134" s="6"/>
      <c r="F134" s="6"/>
      <c r="G134" s="16"/>
    </row>
    <row r="135" spans="5:17">
      <c r="E135" s="6"/>
      <c r="F135" s="6"/>
      <c r="G135" s="16"/>
    </row>
    <row r="136" spans="5:17">
      <c r="E136" s="6"/>
      <c r="F136" s="6"/>
      <c r="G136" s="16"/>
    </row>
    <row r="137" spans="5:17">
      <c r="E137" s="6"/>
      <c r="F137" s="6"/>
      <c r="G137" s="16"/>
    </row>
    <row r="138" spans="5:17">
      <c r="E138" s="6"/>
      <c r="F138" s="6"/>
      <c r="G138" s="16"/>
      <c r="N138" s="6"/>
      <c r="O138" s="16"/>
      <c r="P138" s="6"/>
      <c r="Q138" s="16"/>
    </row>
    <row r="139" spans="5:17">
      <c r="E139" s="6"/>
      <c r="F139" s="6"/>
      <c r="G139" s="16"/>
    </row>
    <row r="140" spans="5:17">
      <c r="E140" s="6"/>
      <c r="F140" s="6"/>
      <c r="G140" s="16"/>
    </row>
    <row r="141" spans="5:17">
      <c r="E141" s="6"/>
      <c r="F141" s="6"/>
      <c r="G141" s="16"/>
    </row>
    <row r="142" spans="5:17">
      <c r="E142" s="6"/>
      <c r="F142" s="6"/>
      <c r="G142" s="16"/>
    </row>
    <row r="143" spans="5:17">
      <c r="E143" s="6"/>
      <c r="F143" s="6"/>
      <c r="G143" s="16"/>
    </row>
    <row r="144" spans="5:17">
      <c r="E144" s="6"/>
      <c r="F144" s="6"/>
      <c r="G144" s="16"/>
      <c r="N144" s="6"/>
      <c r="O144" s="16"/>
      <c r="P144" s="6"/>
      <c r="Q144" s="16"/>
    </row>
    <row r="145" spans="5:17">
      <c r="E145" s="6"/>
      <c r="F145" s="6"/>
      <c r="G145" s="16"/>
    </row>
    <row r="146" spans="5:17">
      <c r="E146" s="6"/>
      <c r="F146" s="6"/>
      <c r="G146" s="16"/>
    </row>
    <row r="147" spans="5:17">
      <c r="E147" s="6"/>
      <c r="F147" s="6"/>
      <c r="G147" s="16"/>
    </row>
    <row r="148" spans="5:17">
      <c r="E148" s="6"/>
      <c r="F148" s="6"/>
      <c r="G148" s="16"/>
    </row>
    <row r="149" spans="5:17">
      <c r="E149" s="6"/>
      <c r="F149" s="6"/>
      <c r="G149" s="16"/>
    </row>
    <row r="150" spans="5:17">
      <c r="E150" s="6"/>
      <c r="F150" s="6"/>
      <c r="G150" s="16"/>
      <c r="N150" s="6"/>
      <c r="O150" s="16"/>
      <c r="P150" s="6"/>
      <c r="Q150" s="16"/>
    </row>
    <row r="151" spans="5:17">
      <c r="E151" s="6"/>
      <c r="F151" s="6"/>
      <c r="G151" s="16"/>
    </row>
    <row r="152" spans="5:17">
      <c r="E152" s="6"/>
      <c r="F152" s="6"/>
      <c r="G152" s="16"/>
    </row>
    <row r="153" spans="5:17">
      <c r="E153" s="6"/>
      <c r="F153" s="6"/>
      <c r="G153" s="16"/>
    </row>
    <row r="154" spans="5:17">
      <c r="E154" s="6"/>
      <c r="F154" s="6"/>
      <c r="G154" s="16"/>
    </row>
    <row r="155" spans="5:17">
      <c r="E155" s="6"/>
      <c r="F155" s="6"/>
      <c r="G155" s="16"/>
    </row>
    <row r="156" spans="5:17">
      <c r="E156" s="6"/>
      <c r="F156" s="6"/>
      <c r="G156" s="16"/>
      <c r="N156" s="6"/>
      <c r="O156" s="16"/>
      <c r="P156" s="6"/>
      <c r="Q156" s="16"/>
    </row>
    <row r="157" spans="5:17">
      <c r="E157" s="6"/>
      <c r="F157" s="6"/>
      <c r="G157" s="16"/>
    </row>
    <row r="158" spans="5:17">
      <c r="E158" s="6"/>
      <c r="F158" s="6"/>
      <c r="G158" s="16"/>
    </row>
    <row r="159" spans="5:17">
      <c r="E159" s="6"/>
      <c r="F159" s="6"/>
      <c r="G159" s="16"/>
    </row>
    <row r="160" spans="5:17">
      <c r="E160" s="6"/>
      <c r="F160" s="6"/>
      <c r="G160" s="16"/>
    </row>
    <row r="161" spans="5:17">
      <c r="E161" s="6"/>
      <c r="F161" s="6"/>
      <c r="G161" s="16"/>
    </row>
    <row r="162" spans="5:17">
      <c r="E162" s="6"/>
      <c r="F162" s="6"/>
      <c r="G162" s="16"/>
    </row>
    <row r="163" spans="5:17">
      <c r="E163" s="6"/>
      <c r="F163" s="6"/>
      <c r="G163" s="16"/>
      <c r="N163" s="6"/>
      <c r="O163" s="16"/>
      <c r="P163" s="6"/>
      <c r="Q163" s="16"/>
    </row>
    <row r="164" spans="5:17">
      <c r="E164" s="6"/>
      <c r="F164" s="6"/>
      <c r="G164" s="16"/>
    </row>
    <row r="165" spans="5:17">
      <c r="E165" s="6"/>
      <c r="F165" s="6"/>
      <c r="G165" s="16"/>
    </row>
    <row r="166" spans="5:17">
      <c r="E166" s="6"/>
      <c r="F166" s="6"/>
      <c r="G166" s="16"/>
    </row>
    <row r="167" spans="5:17">
      <c r="E167" s="6"/>
      <c r="F167" s="6"/>
      <c r="G167" s="16"/>
    </row>
    <row r="168" spans="5:17">
      <c r="E168" s="6"/>
      <c r="F168" s="6"/>
      <c r="G168" s="16"/>
    </row>
    <row r="169" spans="5:17">
      <c r="E169" s="6"/>
      <c r="F169" s="6"/>
      <c r="G169" s="16"/>
      <c r="N169" s="6"/>
      <c r="O169" s="16"/>
      <c r="P169" s="6"/>
      <c r="Q169" s="16"/>
    </row>
    <row r="170" spans="5:17">
      <c r="E170" s="6"/>
      <c r="F170" s="6"/>
      <c r="G170" s="16"/>
    </row>
    <row r="171" spans="5:17">
      <c r="E171" s="6"/>
      <c r="F171" s="6"/>
      <c r="G171" s="16"/>
    </row>
    <row r="172" spans="5:17">
      <c r="E172" s="6"/>
      <c r="F172" s="6"/>
      <c r="G172" s="16"/>
    </row>
    <row r="173" spans="5:17">
      <c r="E173" s="6"/>
      <c r="F173" s="6"/>
      <c r="G173" s="16"/>
    </row>
    <row r="174" spans="5:17">
      <c r="E174" s="6"/>
      <c r="F174" s="6"/>
      <c r="G174" s="16"/>
    </row>
    <row r="175" spans="5:17">
      <c r="E175" s="6"/>
      <c r="F175" s="6"/>
      <c r="G175" s="16"/>
      <c r="N175" s="6"/>
      <c r="O175" s="16"/>
      <c r="P175" s="6"/>
      <c r="Q175" s="16"/>
    </row>
    <row r="176" spans="5:17">
      <c r="E176" s="6"/>
      <c r="F176" s="6"/>
      <c r="G176" s="16"/>
    </row>
    <row r="177" spans="5:17">
      <c r="E177" s="6"/>
      <c r="F177" s="6"/>
      <c r="G177" s="16"/>
    </row>
    <row r="178" spans="5:17">
      <c r="E178" s="6"/>
      <c r="F178" s="6"/>
      <c r="G178" s="16"/>
    </row>
    <row r="179" spans="5:17">
      <c r="E179" s="6"/>
      <c r="F179" s="6"/>
      <c r="G179" s="16"/>
    </row>
    <row r="180" spans="5:17">
      <c r="E180" s="6"/>
      <c r="F180" s="6"/>
      <c r="G180" s="16"/>
    </row>
    <row r="181" spans="5:17">
      <c r="E181" s="6"/>
      <c r="F181" s="6"/>
      <c r="G181" s="16"/>
      <c r="N181" s="6"/>
      <c r="O181" s="16"/>
      <c r="P181" s="6"/>
      <c r="Q181" s="16"/>
    </row>
    <row r="182" spans="5:17">
      <c r="E182" s="6"/>
      <c r="F182" s="6"/>
      <c r="G182" s="16"/>
    </row>
    <row r="183" spans="5:17">
      <c r="E183" s="6"/>
      <c r="F183" s="6"/>
      <c r="G183" s="16"/>
    </row>
    <row r="184" spans="5:17">
      <c r="E184" s="6"/>
      <c r="F184" s="6"/>
      <c r="G184" s="16"/>
    </row>
    <row r="185" spans="5:17">
      <c r="E185" s="6"/>
      <c r="F185" s="6"/>
      <c r="G185" s="16"/>
    </row>
    <row r="186" spans="5:17">
      <c r="E186" s="6"/>
      <c r="F186" s="6"/>
      <c r="G186" s="16"/>
    </row>
    <row r="187" spans="5:17">
      <c r="E187" s="6"/>
      <c r="F187" s="6"/>
      <c r="G187" s="16"/>
      <c r="N187" s="6"/>
      <c r="O187" s="16"/>
      <c r="P187" s="6"/>
      <c r="Q187" s="16"/>
    </row>
    <row r="188" spans="5:17">
      <c r="E188" s="6"/>
      <c r="F188" s="6"/>
      <c r="G188" s="16"/>
    </row>
    <row r="189" spans="5:17">
      <c r="E189" s="6"/>
      <c r="F189" s="6"/>
      <c r="G189" s="16"/>
    </row>
    <row r="190" spans="5:17">
      <c r="E190" s="6"/>
      <c r="F190" s="6"/>
      <c r="G190" s="16"/>
    </row>
    <row r="191" spans="5:17">
      <c r="E191" s="6"/>
      <c r="F191" s="6"/>
      <c r="G191" s="16"/>
    </row>
    <row r="192" spans="5:17">
      <c r="E192" s="6"/>
      <c r="F192" s="6"/>
      <c r="G192" s="16"/>
    </row>
    <row r="193" spans="5:17">
      <c r="E193" s="6"/>
      <c r="F193" s="6"/>
      <c r="G193" s="16"/>
      <c r="N193" s="6"/>
      <c r="O193" s="16"/>
      <c r="P193" s="6"/>
      <c r="Q193" s="16"/>
    </row>
    <row r="194" spans="5:17">
      <c r="E194" s="6"/>
      <c r="F194" s="6"/>
      <c r="G194" s="16"/>
    </row>
    <row r="195" spans="5:17">
      <c r="E195" s="6"/>
      <c r="F195" s="6"/>
      <c r="G195" s="16"/>
    </row>
    <row r="196" spans="5:17">
      <c r="E196" s="6"/>
      <c r="F196" s="6"/>
      <c r="G196" s="16"/>
    </row>
    <row r="197" spans="5:17">
      <c r="E197" s="6"/>
      <c r="F197" s="6"/>
      <c r="G197" s="16"/>
    </row>
    <row r="198" spans="5:17">
      <c r="E198" s="6"/>
      <c r="F198" s="6"/>
      <c r="G198" s="16"/>
    </row>
    <row r="199" spans="5:17">
      <c r="E199" s="6"/>
      <c r="F199" s="6"/>
      <c r="G199" s="16"/>
      <c r="N199" s="6"/>
      <c r="O199" s="16"/>
      <c r="P199" s="6"/>
      <c r="Q199" s="16"/>
    </row>
    <row r="200" spans="5:17">
      <c r="E200" s="6"/>
      <c r="F200" s="6"/>
      <c r="G200" s="16"/>
    </row>
    <row r="201" spans="5:17">
      <c r="E201" s="6"/>
      <c r="F201" s="6"/>
      <c r="G201" s="16"/>
    </row>
    <row r="202" spans="5:17">
      <c r="E202" s="6"/>
      <c r="F202" s="6"/>
      <c r="G202" s="16"/>
    </row>
    <row r="203" spans="5:17">
      <c r="E203" s="6"/>
      <c r="F203" s="6"/>
      <c r="G203" s="16"/>
    </row>
    <row r="204" spans="5:17">
      <c r="E204" s="6"/>
      <c r="F204" s="6"/>
      <c r="G204" s="16"/>
    </row>
    <row r="205" spans="5:17">
      <c r="E205" s="6"/>
      <c r="F205" s="6"/>
      <c r="G205" s="16"/>
      <c r="N205" s="6"/>
      <c r="O205" s="16"/>
      <c r="P205" s="6"/>
      <c r="Q205" s="16"/>
    </row>
    <row r="206" spans="5:17">
      <c r="E206" s="6"/>
      <c r="F206" s="6"/>
      <c r="G206" s="16"/>
    </row>
    <row r="207" spans="5:17">
      <c r="E207" s="6"/>
      <c r="F207" s="6"/>
      <c r="G207" s="16"/>
    </row>
    <row r="208" spans="5:17">
      <c r="E208" s="6"/>
      <c r="F208" s="6"/>
      <c r="G208" s="16"/>
    </row>
    <row r="209" spans="5:17">
      <c r="E209" s="6"/>
      <c r="F209" s="6"/>
      <c r="G209" s="16"/>
    </row>
    <row r="210" spans="5:17">
      <c r="E210" s="6"/>
      <c r="F210" s="6"/>
      <c r="G210" s="16"/>
    </row>
    <row r="211" spans="5:17">
      <c r="E211" s="6"/>
      <c r="F211" s="6"/>
      <c r="G211" s="16"/>
      <c r="N211" s="6"/>
      <c r="O211" s="16"/>
      <c r="P211" s="6"/>
      <c r="Q211" s="16"/>
    </row>
    <row r="212" spans="5:17">
      <c r="E212" s="6"/>
      <c r="F212" s="6"/>
      <c r="G212" s="16"/>
    </row>
    <row r="213" spans="5:17">
      <c r="E213" s="6"/>
      <c r="F213" s="6"/>
      <c r="G213" s="16"/>
    </row>
    <row r="214" spans="5:17">
      <c r="E214" s="6"/>
      <c r="F214" s="6"/>
      <c r="G214" s="16"/>
    </row>
    <row r="215" spans="5:17">
      <c r="E215" s="6"/>
      <c r="F215" s="6"/>
      <c r="G215" s="16"/>
    </row>
    <row r="216" spans="5:17">
      <c r="E216" s="6"/>
      <c r="F216" s="6"/>
      <c r="G216" s="16"/>
      <c r="N216" s="6"/>
      <c r="P216" s="6"/>
    </row>
    <row r="217" spans="5:17">
      <c r="E217" s="6"/>
      <c r="F217" s="6"/>
      <c r="G217" s="16"/>
      <c r="N217" s="6"/>
      <c r="P217" s="6"/>
    </row>
    <row r="218" spans="5:17">
      <c r="E218" s="6"/>
      <c r="F218" s="6"/>
      <c r="G218" s="16"/>
    </row>
    <row r="219" spans="5:17">
      <c r="E219" s="6"/>
      <c r="F219" s="6"/>
      <c r="G219" s="16"/>
    </row>
    <row r="220" spans="5:17">
      <c r="E220" s="6"/>
      <c r="F220" s="6"/>
      <c r="G220" s="16"/>
    </row>
    <row r="221" spans="5:17">
      <c r="E221" s="6"/>
      <c r="F221" s="6"/>
      <c r="G221" s="16"/>
    </row>
    <row r="222" spans="5:17">
      <c r="E222" s="6"/>
      <c r="F222" s="6"/>
      <c r="G222" s="16"/>
    </row>
    <row r="223" spans="5:17">
      <c r="E223" s="6"/>
      <c r="F223" s="6"/>
      <c r="G223" s="16"/>
      <c r="N223" s="6"/>
      <c r="P223" s="6"/>
    </row>
    <row r="224" spans="5:17">
      <c r="E224" s="6"/>
      <c r="F224" s="6"/>
      <c r="G224" s="16"/>
      <c r="N224" s="6"/>
      <c r="P224" s="6"/>
    </row>
    <row r="225" spans="5:17">
      <c r="E225" s="6"/>
      <c r="F225" s="6"/>
      <c r="G225" s="16"/>
    </row>
    <row r="226" spans="5:17">
      <c r="E226" s="6"/>
      <c r="F226" s="6"/>
      <c r="G226" s="16"/>
    </row>
    <row r="227" spans="5:17">
      <c r="E227" s="6"/>
      <c r="F227" s="6"/>
      <c r="G227" s="16"/>
      <c r="N227" s="6"/>
      <c r="P227" s="6"/>
    </row>
    <row r="228" spans="5:17">
      <c r="E228" s="6"/>
      <c r="F228" s="6"/>
      <c r="G228" s="16"/>
    </row>
    <row r="229" spans="5:17">
      <c r="E229" s="6"/>
      <c r="F229" s="6"/>
      <c r="G229" s="16"/>
      <c r="N229" s="6"/>
      <c r="P229" s="6"/>
    </row>
    <row r="230" spans="5:17">
      <c r="E230" s="6"/>
      <c r="F230" s="6"/>
      <c r="G230" s="16"/>
    </row>
    <row r="231" spans="5:17">
      <c r="E231" s="6"/>
      <c r="F231" s="6"/>
      <c r="G231" s="16"/>
    </row>
    <row r="232" spans="5:17">
      <c r="E232" s="6"/>
      <c r="F232" s="6"/>
      <c r="G232" s="16"/>
    </row>
    <row r="233" spans="5:17">
      <c r="E233" s="6"/>
      <c r="F233" s="6"/>
      <c r="G233" s="16"/>
    </row>
    <row r="234" spans="5:17">
      <c r="E234" s="6"/>
      <c r="F234" s="6"/>
      <c r="G234" s="16"/>
    </row>
    <row r="235" spans="5:17">
      <c r="E235" s="6"/>
      <c r="F235" s="6"/>
      <c r="G235" s="16"/>
      <c r="N235" s="6"/>
      <c r="P235" s="6"/>
    </row>
    <row r="236" spans="5:17">
      <c r="E236" s="6"/>
      <c r="F236" s="6"/>
      <c r="G236" s="16"/>
      <c r="N236" s="6"/>
      <c r="P236" s="6"/>
    </row>
    <row r="237" spans="5:17">
      <c r="E237" s="6"/>
      <c r="F237" s="6"/>
      <c r="G237" s="16"/>
    </row>
    <row r="238" spans="5:17">
      <c r="E238" s="6"/>
      <c r="F238" s="6"/>
      <c r="G238" s="16"/>
    </row>
    <row r="239" spans="5:17">
      <c r="E239" s="6"/>
      <c r="F239" s="6"/>
      <c r="G239" s="16"/>
    </row>
    <row r="240" spans="5:17">
      <c r="E240" s="6"/>
      <c r="F240" s="6"/>
      <c r="G240" s="16"/>
      <c r="N240" s="6"/>
      <c r="O240" s="16"/>
      <c r="P240" s="6"/>
      <c r="Q240" s="16"/>
    </row>
    <row r="241" spans="5:17">
      <c r="E241" s="6"/>
      <c r="F241" s="6"/>
      <c r="G241" s="16"/>
      <c r="N241" s="6"/>
      <c r="O241" s="16"/>
      <c r="P241" s="6"/>
      <c r="Q241" s="16"/>
    </row>
    <row r="242" spans="5:17">
      <c r="E242" s="6"/>
      <c r="F242" s="6"/>
      <c r="G242" s="16"/>
    </row>
    <row r="243" spans="5:17">
      <c r="E243" s="6"/>
      <c r="F243" s="6"/>
      <c r="G243" s="16"/>
    </row>
    <row r="244" spans="5:17">
      <c r="E244" s="6"/>
      <c r="F244" s="6"/>
      <c r="G244" s="16"/>
    </row>
    <row r="245" spans="5:17">
      <c r="E245" s="6"/>
      <c r="F245" s="6"/>
      <c r="G245" s="16"/>
      <c r="N245" s="6"/>
      <c r="P245" s="6"/>
    </row>
    <row r="246" spans="5:17">
      <c r="E246" s="6"/>
      <c r="F246" s="6"/>
      <c r="G246" s="16"/>
      <c r="N246" s="6"/>
      <c r="P246" s="6"/>
    </row>
    <row r="247" spans="5:17">
      <c r="E247" s="6"/>
      <c r="F247" s="6"/>
      <c r="G247" s="16"/>
      <c r="N247" s="6"/>
      <c r="O247" s="16"/>
      <c r="P247" s="6"/>
      <c r="Q247" s="16"/>
    </row>
    <row r="248" spans="5:17">
      <c r="E248" s="6"/>
      <c r="F248" s="6"/>
      <c r="G248" s="16"/>
    </row>
    <row r="249" spans="5:17">
      <c r="E249" s="6"/>
      <c r="F249" s="6"/>
      <c r="G249" s="16"/>
    </row>
    <row r="250" spans="5:17">
      <c r="E250" s="6"/>
      <c r="F250" s="6"/>
      <c r="G250" s="16"/>
    </row>
    <row r="251" spans="5:17">
      <c r="E251" s="6"/>
      <c r="F251" s="6"/>
      <c r="G251" s="16"/>
      <c r="N251" s="6"/>
      <c r="P251" s="6"/>
    </row>
    <row r="252" spans="5:17">
      <c r="E252" s="6"/>
      <c r="F252" s="6"/>
      <c r="G252" s="16"/>
      <c r="N252" s="6"/>
      <c r="P252" s="6"/>
    </row>
    <row r="253" spans="5:17">
      <c r="E253" s="6"/>
      <c r="F253" s="6"/>
      <c r="G253" s="16"/>
      <c r="N253" s="6"/>
      <c r="P253" s="6"/>
    </row>
    <row r="254" spans="5:17">
      <c r="E254" s="6"/>
      <c r="F254" s="6"/>
      <c r="G254" s="16"/>
    </row>
    <row r="255" spans="5:17">
      <c r="E255" s="6"/>
      <c r="F255" s="6"/>
      <c r="G255" s="16"/>
    </row>
    <row r="256" spans="5:17">
      <c r="E256" s="6"/>
      <c r="F256" s="6"/>
      <c r="G256" s="16"/>
    </row>
    <row r="257" spans="5:17">
      <c r="E257" s="6"/>
      <c r="F257" s="6"/>
      <c r="G257" s="16"/>
    </row>
    <row r="258" spans="5:17">
      <c r="E258" s="6"/>
      <c r="F258" s="6"/>
      <c r="G258" s="16"/>
      <c r="N258" s="6"/>
      <c r="P258" s="6"/>
    </row>
    <row r="259" spans="5:17">
      <c r="E259" s="6"/>
      <c r="F259" s="6"/>
      <c r="G259" s="16"/>
      <c r="N259" s="6"/>
      <c r="P259" s="6"/>
    </row>
    <row r="260" spans="5:17">
      <c r="E260" s="6"/>
      <c r="F260" s="6"/>
      <c r="G260" s="16"/>
    </row>
    <row r="261" spans="5:17">
      <c r="E261" s="6"/>
      <c r="F261" s="6"/>
      <c r="G261" s="16"/>
    </row>
    <row r="262" spans="5:17">
      <c r="E262" s="6"/>
      <c r="F262" s="6"/>
      <c r="G262" s="16"/>
      <c r="N262" s="6"/>
      <c r="O262" s="16"/>
      <c r="P262" s="6"/>
      <c r="Q262" s="16"/>
    </row>
    <row r="263" spans="5:17">
      <c r="E263" s="6"/>
      <c r="F263" s="6"/>
      <c r="G263" s="16"/>
    </row>
    <row r="264" spans="5:17">
      <c r="E264" s="6"/>
      <c r="F264" s="6"/>
      <c r="G264" s="16"/>
    </row>
    <row r="265" spans="5:17">
      <c r="E265" s="6"/>
      <c r="F265" s="6"/>
      <c r="G265" s="16"/>
    </row>
    <row r="266" spans="5:17">
      <c r="E266" s="6"/>
      <c r="F266" s="6"/>
      <c r="G266" s="16"/>
    </row>
    <row r="267" spans="5:17">
      <c r="E267" s="6"/>
      <c r="F267" s="6"/>
      <c r="G267" s="16"/>
    </row>
    <row r="268" spans="5:17">
      <c r="E268" s="6"/>
      <c r="F268" s="6"/>
      <c r="G268" s="16"/>
      <c r="N268" s="6"/>
      <c r="P268" s="6"/>
    </row>
    <row r="269" spans="5:17">
      <c r="E269" s="6"/>
      <c r="F269" s="6"/>
      <c r="G269" s="16"/>
      <c r="N269" s="6"/>
      <c r="P269" s="6"/>
    </row>
    <row r="270" spans="5:17">
      <c r="E270" s="6"/>
      <c r="F270" s="6"/>
      <c r="G270" s="16"/>
    </row>
    <row r="271" spans="5:17">
      <c r="E271" s="6"/>
      <c r="F271" s="6"/>
      <c r="G271" s="16"/>
    </row>
    <row r="272" spans="5:17">
      <c r="E272" s="6"/>
      <c r="F272" s="6"/>
      <c r="G272" s="16"/>
    </row>
    <row r="273" spans="5:16">
      <c r="E273" s="6"/>
      <c r="F273" s="6"/>
      <c r="G273" s="16"/>
    </row>
    <row r="274" spans="5:16">
      <c r="E274" s="6"/>
      <c r="F274" s="6"/>
      <c r="G274" s="16"/>
      <c r="N274" s="6"/>
      <c r="P274" s="6"/>
    </row>
    <row r="275" spans="5:16">
      <c r="E275" s="6"/>
      <c r="F275" s="6"/>
      <c r="G275" s="16"/>
      <c r="N275" s="6"/>
      <c r="P275" s="6"/>
    </row>
    <row r="276" spans="5:16">
      <c r="E276" s="6"/>
      <c r="F276" s="6"/>
      <c r="G276" s="16"/>
    </row>
    <row r="277" spans="5:16">
      <c r="E277" s="6"/>
      <c r="F277" s="6"/>
      <c r="G277" s="16"/>
    </row>
    <row r="278" spans="5:16">
      <c r="E278" s="6"/>
      <c r="F278" s="6"/>
      <c r="G278" s="16"/>
      <c r="N278" s="6"/>
      <c r="P278" s="6"/>
    </row>
    <row r="279" spans="5:16">
      <c r="E279" s="6"/>
      <c r="F279" s="6"/>
      <c r="G279" s="16"/>
    </row>
    <row r="280" spans="5:16">
      <c r="E280" s="6"/>
      <c r="F280" s="6"/>
      <c r="G280" s="16"/>
    </row>
    <row r="281" spans="5:16">
      <c r="E281" s="6"/>
      <c r="F281" s="6"/>
      <c r="G281" s="16"/>
    </row>
    <row r="282" spans="5:16">
      <c r="E282" s="6"/>
      <c r="F282" s="6"/>
      <c r="G282" s="16"/>
    </row>
    <row r="283" spans="5:16">
      <c r="E283" s="6"/>
      <c r="F283" s="6"/>
      <c r="G283" s="16"/>
      <c r="N283" s="6"/>
      <c r="P283" s="6"/>
    </row>
    <row r="284" spans="5:16">
      <c r="E284" s="6"/>
      <c r="F284" s="6"/>
      <c r="G284" s="16"/>
      <c r="N284" s="6"/>
      <c r="P284" s="6"/>
    </row>
    <row r="285" spans="5:16">
      <c r="E285" s="6"/>
      <c r="F285" s="6"/>
      <c r="G285" s="16"/>
    </row>
    <row r="286" spans="5:16">
      <c r="E286" s="6"/>
      <c r="F286" s="6"/>
      <c r="G286" s="16"/>
    </row>
    <row r="287" spans="5:16">
      <c r="E287" s="6"/>
      <c r="F287" s="6"/>
      <c r="G287" s="16"/>
    </row>
    <row r="288" spans="5:16">
      <c r="E288" s="6"/>
      <c r="F288" s="6"/>
      <c r="G288" s="16"/>
    </row>
    <row r="289" spans="5:16">
      <c r="E289" s="6"/>
      <c r="F289" s="6"/>
      <c r="G289" s="16"/>
      <c r="N289" s="6"/>
      <c r="P289" s="6"/>
    </row>
    <row r="290" spans="5:16">
      <c r="E290" s="6"/>
      <c r="F290" s="6"/>
      <c r="G290" s="16"/>
      <c r="N290" s="6"/>
      <c r="P290" s="6"/>
    </row>
    <row r="291" spans="5:16">
      <c r="E291" s="6"/>
      <c r="F291" s="6"/>
      <c r="G291" s="16"/>
    </row>
    <row r="292" spans="5:16">
      <c r="E292" s="6"/>
      <c r="F292" s="6"/>
      <c r="G292" s="16"/>
    </row>
    <row r="293" spans="5:16">
      <c r="E293" s="6"/>
      <c r="F293" s="6"/>
      <c r="G293" s="16"/>
    </row>
    <row r="294" spans="5:16">
      <c r="E294" s="6"/>
      <c r="F294" s="6"/>
      <c r="G294" s="16"/>
    </row>
    <row r="295" spans="5:16">
      <c r="E295" s="6"/>
      <c r="F295" s="6"/>
      <c r="G295" s="16"/>
    </row>
    <row r="296" spans="5:16">
      <c r="E296" s="6"/>
      <c r="F296" s="6"/>
      <c r="G296" s="16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F1A5-52D5-4FC1-9FA7-61CC98154343}">
  <dimension ref="A1:AW70"/>
  <sheetViews>
    <sheetView topLeftCell="A13" workbookViewId="0">
      <selection activeCell="M39" sqref="M39"/>
    </sheetView>
  </sheetViews>
  <sheetFormatPr defaultColWidth="0" defaultRowHeight="15" zeroHeight="1"/>
  <cols>
    <col min="1" max="1" width="7.5703125" style="153" bestFit="1" customWidth="1"/>
    <col min="2" max="2" width="31.5703125" style="141" bestFit="1" customWidth="1"/>
    <col min="3" max="3" width="5" customWidth="1"/>
    <col min="4" max="34" width="12.140625" bestFit="1" customWidth="1"/>
    <col min="35" max="38" width="9.140625" hidden="1"/>
    <col min="39" max="39" width="24.42578125" hidden="1"/>
    <col min="40" max="40" width="10.42578125" hidden="1"/>
    <col min="41" max="41" width="25.28515625" hidden="1"/>
    <col min="42" max="42" width="10.85546875" customWidth="1"/>
    <col min="43" max="46" width="4.140625" hidden="1"/>
    <col min="47" max="47" width="24.42578125" hidden="1"/>
    <col min="48" max="48" width="25.28515625" hidden="1" customWidth="1"/>
    <col min="49" max="49" width="9.140625" customWidth="1"/>
    <col min="50" max="16384" width="9.140625" hidden="1"/>
  </cols>
  <sheetData>
    <row r="1" spans="1:48">
      <c r="A1" s="150" t="s">
        <v>281</v>
      </c>
      <c r="B1" s="87" t="s">
        <v>282</v>
      </c>
      <c r="C1" s="148"/>
      <c r="D1" s="149"/>
      <c r="E1" s="149">
        <v>45467</v>
      </c>
      <c r="F1" s="149">
        <v>45542</v>
      </c>
      <c r="G1" s="149">
        <v>45577</v>
      </c>
      <c r="H1" s="149">
        <v>45598</v>
      </c>
      <c r="I1" s="149">
        <v>45611</v>
      </c>
      <c r="J1" s="149">
        <v>45616</v>
      </c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320"/>
      <c r="AJ1" s="320"/>
      <c r="AK1" s="320"/>
      <c r="AL1" s="320"/>
      <c r="AM1" s="320"/>
      <c r="AN1" s="88"/>
      <c r="AO1" s="271" t="s">
        <v>283</v>
      </c>
      <c r="AV1" s="89" t="s">
        <v>284</v>
      </c>
    </row>
    <row r="2" spans="1:48">
      <c r="A2" s="90">
        <v>2</v>
      </c>
      <c r="B2" s="91" t="s">
        <v>285</v>
      </c>
      <c r="C2" s="92">
        <f t="shared" ref="C2:C29" si="0">COUNTA(D2:AG2)</f>
        <v>3</v>
      </c>
      <c r="D2" s="2"/>
      <c r="E2" s="2"/>
      <c r="F2" s="2" t="s">
        <v>286</v>
      </c>
      <c r="G2" s="2"/>
      <c r="H2" s="2"/>
      <c r="I2" s="2" t="s">
        <v>286</v>
      </c>
      <c r="J2" s="2" t="s">
        <v>286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 t="e">
        <f t="shared" ref="AI2:AI29" ca="1" si="1">IF(OR(INDEX(D2:AH2,MATCH(TODAY(),D$1:AH$1,0))="sim", INDEX(D2:AH2,MATCH(TODAY(),D$1:AH$1,0))="atestado"), $B2, "")</f>
        <v>#N/A</v>
      </c>
      <c r="AJ2" s="2" t="e">
        <f t="shared" ref="AJ2:AJ29" ca="1" si="2">IF(OR(INDEX(D2:AH2,MATCH(TODAY()-1,D$1:AH$1,0))="sim", INDEX(D2:AH2,MATCH(TODAY()-1,D$1:AH$1,0))="atestado"), $B2, "")</f>
        <v>#N/A</v>
      </c>
      <c r="AK2" s="2" t="e">
        <f t="shared" ref="AK2:AK29" ca="1" si="3">IF(OR(INDEX(D2:AH2,MATCH(TODAY()-2,D$1:AH$1,0))="sim", INDEX(D2:AH2,MATCH(TODAY()-2,D$1:AH$1,0))="atestado"), $B2, "")</f>
        <v>#N/A</v>
      </c>
      <c r="AL2" s="2" t="e">
        <f t="shared" ref="AL2:AL29" ca="1" si="4">IF(OR(INDEX(D2:AH2,MATCH(TODAY()-3,D$1:AH$1,0))="sim", INDEX(D2:AH2,MATCH(TODAY()-3,D$1:AH$1,0))="atestado"), $B2, "")</f>
        <v>#N/A</v>
      </c>
      <c r="AM2" s="2" t="e">
        <f t="shared" ref="AM2:AM29" ca="1" si="5">IF(OR(INDEX(D2:AH2,MATCH(TODAY()-4,D$1:AH$1,0))="sim", INDEX(D2:AH2,MATCH(TODAY()-4,D$1:AH$1,0))="atestado"), $B2, "")</f>
        <v>#N/A</v>
      </c>
      <c r="AN2" s="2" t="s">
        <v>286</v>
      </c>
      <c r="AO2" s="93" t="str">
        <f t="shared" ref="AO2:AO29" si="6">IF(C2=0, B2, "")</f>
        <v/>
      </c>
      <c r="AP2" s="94"/>
      <c r="AQ2" s="95" t="s">
        <v>287</v>
      </c>
      <c r="AR2" s="96" t="s">
        <v>288</v>
      </c>
      <c r="AS2" s="97" t="s">
        <v>289</v>
      </c>
      <c r="AT2" s="98" t="s">
        <v>290</v>
      </c>
      <c r="AU2" s="99" t="s">
        <v>291</v>
      </c>
      <c r="AV2" s="100" t="str" cm="1">
        <f t="array" ref="AV2">IFERROR(INDEX($AO$2:$AO$101, SMALL(IF($AO$2:$AO$101&lt;&gt;"", ROW($AO$2:$AO$101)-1), ROW(A1))), "")</f>
        <v>PAULO FRANCISCO</v>
      </c>
    </row>
    <row r="3" spans="1:48">
      <c r="A3" s="90">
        <v>14</v>
      </c>
      <c r="B3" s="102" t="s">
        <v>292</v>
      </c>
      <c r="C3" s="92">
        <f t="shared" si="0"/>
        <v>5</v>
      </c>
      <c r="D3" s="2" t="s">
        <v>286</v>
      </c>
      <c r="E3" s="2"/>
      <c r="F3" s="2" t="s">
        <v>286</v>
      </c>
      <c r="G3" s="2"/>
      <c r="H3" s="2" t="s">
        <v>286</v>
      </c>
      <c r="I3" s="2" t="s">
        <v>286</v>
      </c>
      <c r="J3" s="2" t="s">
        <v>286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 t="e">
        <f t="shared" ca="1" si="1"/>
        <v>#N/A</v>
      </c>
      <c r="AJ3" s="2" t="e">
        <f t="shared" ca="1" si="2"/>
        <v>#N/A</v>
      </c>
      <c r="AK3" s="2" t="e">
        <f t="shared" ca="1" si="3"/>
        <v>#N/A</v>
      </c>
      <c r="AL3" s="2" t="e">
        <f t="shared" ca="1" si="4"/>
        <v>#N/A</v>
      </c>
      <c r="AM3" s="2" t="e">
        <f t="shared" ca="1" si="5"/>
        <v>#N/A</v>
      </c>
      <c r="AN3" s="2" t="s">
        <v>293</v>
      </c>
      <c r="AO3" s="93" t="str">
        <f t="shared" si="6"/>
        <v/>
      </c>
      <c r="AP3" s="94"/>
      <c r="AQ3" s="103" t="str" cm="1">
        <f t="array" aca="1" ref="AQ3" ca="1">IFERROR(INDEX($AI$2:$AI$101, SMALL(IF($AI$2:$AI$101&lt;&gt;"", ROW($AI$2:$AI$101)-1), ROW(A1))), "")</f>
        <v/>
      </c>
      <c r="AR3" s="104" t="str" cm="1">
        <f t="array" aca="1" ref="AR3" ca="1">IFERROR(INDEX($AJ$2:$AJ$101, SMALL(IF($AJ$2:$AJ$101&lt;&gt;"", ROW($AJ$2:$AJ$101)-1), ROW(A1))), "")</f>
        <v/>
      </c>
      <c r="AS3" s="105" t="str" cm="1">
        <f t="array" aca="1" ref="AS3" ca="1">IFERROR(INDEX($AK$2:$AK$101, SMALL(IF($AK$2:$AK$101&lt;&gt;"", ROW($AK$2:$AK$101)-1), ROW(A1))), "")</f>
        <v/>
      </c>
      <c r="AT3" s="106" t="str" cm="1">
        <f t="array" aca="1" ref="AT3" ca="1">IFERROR(INDEX($AL$2:$AL$101, SMALL(IF($AL$2:$AL$101&lt;&gt;"", ROW($AL$2:$AL$101)-1), ROW(A1))), "")</f>
        <v/>
      </c>
      <c r="AU3" s="107" t="str" cm="1">
        <f t="array" aca="1" ref="AU3" ca="1">IFERROR(INDEX($AM$2:$AM$101, SMALL(IF($AM$2:$AM$101&lt;&gt;"", ROW($AM$2:$AM$101)-1), ROW(A1))), "")</f>
        <v/>
      </c>
      <c r="AV3" s="100" t="str" cm="1">
        <f t="array" ref="AV3">IFERROR(INDEX($AO$2:$AO$101, SMALL(IF($AO$2:$AO$101&lt;&gt;"", ROW($AO$2:$AO$101)-1), ROW(A2))), "")</f>
        <v/>
      </c>
    </row>
    <row r="4" spans="1:48">
      <c r="A4" s="90">
        <v>15</v>
      </c>
      <c r="B4" s="102" t="s">
        <v>294</v>
      </c>
      <c r="C4" s="92">
        <f t="shared" si="0"/>
        <v>5</v>
      </c>
      <c r="D4" s="2"/>
      <c r="E4" s="2" t="s">
        <v>286</v>
      </c>
      <c r="F4" s="2" t="s">
        <v>286</v>
      </c>
      <c r="G4" s="2"/>
      <c r="H4" s="2" t="s">
        <v>286</v>
      </c>
      <c r="I4" s="2" t="s">
        <v>286</v>
      </c>
      <c r="J4" s="2" t="s">
        <v>286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85" t="s">
        <v>33</v>
      </c>
      <c r="AI4" s="2" t="e">
        <f t="shared" ca="1" si="1"/>
        <v>#N/A</v>
      </c>
      <c r="AJ4" s="2" t="e">
        <f t="shared" ca="1" si="2"/>
        <v>#N/A</v>
      </c>
      <c r="AK4" s="2" t="e">
        <f t="shared" ca="1" si="3"/>
        <v>#N/A</v>
      </c>
      <c r="AL4" s="2" t="e">
        <f t="shared" ca="1" si="4"/>
        <v>#N/A</v>
      </c>
      <c r="AM4" s="2" t="e">
        <f t="shared" ca="1" si="5"/>
        <v>#N/A</v>
      </c>
      <c r="AN4" s="2" t="s">
        <v>33</v>
      </c>
      <c r="AO4" s="93" t="str">
        <f t="shared" si="6"/>
        <v/>
      </c>
      <c r="AP4" s="94"/>
      <c r="AQ4" s="103" t="str" cm="1">
        <f t="array" aca="1" ref="AQ4" ca="1">IFERROR(INDEX($AI$2:$AI$101, SMALL(IF($AI$2:$AI$101&lt;&gt;"", ROW($AI$2:$AI$101)-1), ROW(A2))), "")</f>
        <v/>
      </c>
      <c r="AR4" s="104" t="str" cm="1">
        <f t="array" aca="1" ref="AR4" ca="1">IFERROR(INDEX($AJ$2:$AJ$101, SMALL(IF($AJ$2:$AJ$101&lt;&gt;"", ROW($AJ$2:$AJ$101)-1), ROW(A2))), "")</f>
        <v/>
      </c>
      <c r="AS4" s="105" t="str" cm="1">
        <f t="array" aca="1" ref="AS4" ca="1">IFERROR(INDEX($AK$2:$AK$101, SMALL(IF($AK$2:$AK$101&lt;&gt;"", ROW($AK$2:$AK$101)-1), ROW(A2))), "")</f>
        <v/>
      </c>
      <c r="AT4" s="106" t="str" cm="1">
        <f t="array" aca="1" ref="AT4" ca="1">IFERROR(INDEX($AL$2:$AL$101, SMALL(IF($AL$2:$AL$101&lt;&gt;"", ROW($AL$2:$AL$101)-1), ROW(A2))), "")</f>
        <v/>
      </c>
      <c r="AU4" s="107" t="str" cm="1">
        <f t="array" aca="1" ref="AU4" ca="1">IFERROR(INDEX($AM$2:$AM$101, SMALL(IF($AM$2:$AM$101&lt;&gt;"", ROW($AM$2:$AM$101)-1), ROW(A2))), "")</f>
        <v/>
      </c>
      <c r="AV4" s="100" t="str" cm="1">
        <f t="array" ref="AV4">IFERROR(INDEX($AO$2:$AO$101, SMALL(IF($AO$2:$AO$101&lt;&gt;"", ROW($AO$2:$AO$101)-1), ROW(A3))), "")</f>
        <v/>
      </c>
    </row>
    <row r="5" spans="1:48">
      <c r="A5" s="90">
        <v>16</v>
      </c>
      <c r="B5" s="102" t="s">
        <v>295</v>
      </c>
      <c r="C5" s="92">
        <f t="shared" si="0"/>
        <v>0</v>
      </c>
      <c r="D5" s="145"/>
      <c r="E5" s="145"/>
      <c r="F5" s="145"/>
      <c r="G5" s="145"/>
      <c r="H5" s="145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 t="e">
        <f t="shared" ca="1" si="1"/>
        <v>#N/A</v>
      </c>
      <c r="AJ5" s="2" t="e">
        <f t="shared" ca="1" si="2"/>
        <v>#N/A</v>
      </c>
      <c r="AK5" s="2" t="e">
        <f t="shared" ca="1" si="3"/>
        <v>#N/A</v>
      </c>
      <c r="AL5" s="2" t="e">
        <f t="shared" ca="1" si="4"/>
        <v>#N/A</v>
      </c>
      <c r="AM5" s="2" t="e">
        <f t="shared" ca="1" si="5"/>
        <v>#N/A</v>
      </c>
      <c r="AN5" s="2" t="s">
        <v>296</v>
      </c>
      <c r="AO5" s="93" t="str">
        <f t="shared" si="6"/>
        <v>PAULO FRANCISCO</v>
      </c>
      <c r="AP5" s="94"/>
      <c r="AQ5" s="103" t="str" cm="1">
        <f t="array" aca="1" ref="AQ5" ca="1">IFERROR(INDEX($AI$2:$AI$101, SMALL(IF($AI$2:$AI$101&lt;&gt;"", ROW($AI$2:$AI$101)-1), ROW(A3))), "")</f>
        <v/>
      </c>
      <c r="AR5" s="104" t="str" cm="1">
        <f t="array" aca="1" ref="AR5" ca="1">IFERROR(INDEX($AJ$2:$AJ$101, SMALL(IF($AJ$2:$AJ$101&lt;&gt;"", ROW($AJ$2:$AJ$101)-1), ROW(A3))), "")</f>
        <v/>
      </c>
      <c r="AS5" s="105" t="str" cm="1">
        <f t="array" aca="1" ref="AS5" ca="1">IFERROR(INDEX($AK$2:$AK$101, SMALL(IF($AK$2:$AK$101&lt;&gt;"", ROW($AK$2:$AK$101)-1), ROW(A3))), "")</f>
        <v/>
      </c>
      <c r="AT5" s="106" t="str" cm="1">
        <f t="array" aca="1" ref="AT5" ca="1">IFERROR(INDEX($AL$2:$AL$101, SMALL(IF($AL$2:$AL$101&lt;&gt;"", ROW($AL$2:$AL$101)-1), ROW(A3))), "")</f>
        <v/>
      </c>
      <c r="AU5" s="107" t="str" cm="1">
        <f t="array" aca="1" ref="AU5" ca="1">IFERROR(INDEX($AM$2:$AM$101, SMALL(IF($AM$2:$AM$101&lt;&gt;"", ROW($AM$2:$AM$101)-1), ROW(A3))), "")</f>
        <v/>
      </c>
      <c r="AV5" s="100" t="str" cm="1">
        <f t="array" ref="AV5">IFERROR(INDEX($AO$2:$AO$101, SMALL(IF($AO$2:$AO$101&lt;&gt;"", ROW($AO$2:$AO$101)-1), ROW(A4))), "")</f>
        <v/>
      </c>
    </row>
    <row r="6" spans="1:48">
      <c r="A6" s="90">
        <v>34</v>
      </c>
      <c r="B6" s="91" t="s">
        <v>297</v>
      </c>
      <c r="C6" s="92">
        <f t="shared" si="0"/>
        <v>5</v>
      </c>
      <c r="D6" s="2" t="s">
        <v>286</v>
      </c>
      <c r="E6" s="2" t="s">
        <v>286</v>
      </c>
      <c r="F6" s="2" t="s">
        <v>286</v>
      </c>
      <c r="G6" s="145"/>
      <c r="H6" s="2" t="s">
        <v>286</v>
      </c>
      <c r="I6" s="2"/>
      <c r="J6" s="2" t="s">
        <v>286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 t="e">
        <f t="shared" ca="1" si="1"/>
        <v>#N/A</v>
      </c>
      <c r="AJ6" s="2" t="e">
        <f t="shared" ca="1" si="2"/>
        <v>#N/A</v>
      </c>
      <c r="AK6" s="2" t="e">
        <f t="shared" ca="1" si="3"/>
        <v>#N/A</v>
      </c>
      <c r="AL6" s="2" t="e">
        <f t="shared" ca="1" si="4"/>
        <v>#N/A</v>
      </c>
      <c r="AM6" s="2" t="e">
        <f t="shared" ca="1" si="5"/>
        <v>#N/A</v>
      </c>
      <c r="AN6" s="2" t="s">
        <v>298</v>
      </c>
      <c r="AO6" s="93" t="str">
        <f t="shared" si="6"/>
        <v/>
      </c>
      <c r="AP6" s="94"/>
      <c r="AQ6" s="103" t="str" cm="1">
        <f t="array" aca="1" ref="AQ6" ca="1">IFERROR(INDEX($AI$2:$AI$101, SMALL(IF($AI$2:$AI$101&lt;&gt;"", ROW($AI$2:$AI$101)-1), ROW(A4))), "")</f>
        <v/>
      </c>
      <c r="AR6" s="104" t="str" cm="1">
        <f t="array" aca="1" ref="AR6" ca="1">IFERROR(INDEX($AJ$2:$AJ$101, SMALL(IF($AJ$2:$AJ$101&lt;&gt;"", ROW($AJ$2:$AJ$101)-1), ROW(A4))), "")</f>
        <v/>
      </c>
      <c r="AS6" s="105" t="str" cm="1">
        <f t="array" aca="1" ref="AS6" ca="1">IFERROR(INDEX($AK$2:$AK$101, SMALL(IF($AK$2:$AK$101&lt;&gt;"", ROW($AK$2:$AK$101)-1), ROW(A4))), "")</f>
        <v/>
      </c>
      <c r="AT6" s="106" t="str" cm="1">
        <f t="array" aca="1" ref="AT6" ca="1">IFERROR(INDEX($AL$2:$AL$101, SMALL(IF($AL$2:$AL$101&lt;&gt;"", ROW($AL$2:$AL$101)-1), ROW(A4))), "")</f>
        <v/>
      </c>
      <c r="AU6" s="107" t="str" cm="1">
        <f t="array" aca="1" ref="AU6" ca="1">IFERROR(INDEX($AM$2:$AM$101, SMALL(IF($AM$2:$AM$101&lt;&gt;"", ROW($AM$2:$AM$101)-1), ROW(A4))), "")</f>
        <v/>
      </c>
      <c r="AV6" s="100" t="str" cm="1">
        <f t="array" ref="AV6">IFERROR(INDEX($AO$2:$AO$101, SMALL(IF($AO$2:$AO$101&lt;&gt;"", ROW($AO$2:$AO$101)-1), ROW(A5))), "")</f>
        <v/>
      </c>
    </row>
    <row r="7" spans="1:48">
      <c r="A7" s="90">
        <v>48</v>
      </c>
      <c r="B7" s="102" t="s">
        <v>299</v>
      </c>
      <c r="C7" s="92">
        <f t="shared" si="0"/>
        <v>4</v>
      </c>
      <c r="D7" s="2"/>
      <c r="E7" s="2" t="s">
        <v>286</v>
      </c>
      <c r="F7" s="2"/>
      <c r="G7" s="2" t="s">
        <v>286</v>
      </c>
      <c r="H7" s="2"/>
      <c r="I7" s="2" t="s">
        <v>286</v>
      </c>
      <c r="J7" s="2" t="s">
        <v>286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 t="e">
        <f t="shared" ca="1" si="1"/>
        <v>#N/A</v>
      </c>
      <c r="AJ7" s="2" t="e">
        <f t="shared" ca="1" si="2"/>
        <v>#N/A</v>
      </c>
      <c r="AK7" s="2" t="e">
        <f t="shared" ca="1" si="3"/>
        <v>#N/A</v>
      </c>
      <c r="AL7" s="2" t="e">
        <f t="shared" ca="1" si="4"/>
        <v>#N/A</v>
      </c>
      <c r="AM7" s="2" t="e">
        <f t="shared" ca="1" si="5"/>
        <v>#N/A</v>
      </c>
      <c r="AN7" s="2" t="s">
        <v>300</v>
      </c>
      <c r="AO7" s="93" t="str">
        <f t="shared" si="6"/>
        <v/>
      </c>
      <c r="AP7" s="94"/>
      <c r="AQ7" s="103" t="str" cm="1">
        <f t="array" aca="1" ref="AQ7" ca="1">IFERROR(INDEX($AI$2:$AI$101, SMALL(IF($AI$2:$AI$101&lt;&gt;"", ROW($AI$2:$AI$101)-1), ROW(A5))), "")</f>
        <v/>
      </c>
      <c r="AR7" s="104" t="str" cm="1">
        <f t="array" aca="1" ref="AR7" ca="1">IFERROR(INDEX($AJ$2:$AJ$101, SMALL(IF($AJ$2:$AJ$101&lt;&gt;"", ROW($AJ$2:$AJ$101)-1), ROW(A5))), "")</f>
        <v/>
      </c>
      <c r="AS7" s="105" t="str" cm="1">
        <f t="array" aca="1" ref="AS7" ca="1">IFERROR(INDEX($AK$2:$AK$101, SMALL(IF($AK$2:$AK$101&lt;&gt;"", ROW($AK$2:$AK$101)-1), ROW(A5))), "")</f>
        <v/>
      </c>
      <c r="AT7" s="106" t="str" cm="1">
        <f t="array" aca="1" ref="AT7" ca="1">IFERROR(INDEX($AL$2:$AL$101, SMALL(IF($AL$2:$AL$101&lt;&gt;"", ROW($AL$2:$AL$101)-1), ROW(A5))), "")</f>
        <v/>
      </c>
      <c r="AU7" s="107" t="str" cm="1">
        <f t="array" aca="1" ref="AU7" ca="1">IFERROR(INDEX($AM$2:$AM$101, SMALL(IF($AM$2:$AM$101&lt;&gt;"", ROW($AM$2:$AM$101)-1), ROW(A5))), "")</f>
        <v/>
      </c>
      <c r="AV7" s="100" t="str" cm="1">
        <f t="array" ref="AV7">IFERROR(INDEX($AO$2:$AO$101, SMALL(IF($AO$2:$AO$101&lt;&gt;"", ROW($AO$2:$AO$101)-1), ROW(A6))), "")</f>
        <v/>
      </c>
    </row>
    <row r="8" spans="1:48">
      <c r="A8" s="90">
        <v>88</v>
      </c>
      <c r="B8" s="102" t="s">
        <v>301</v>
      </c>
      <c r="C8" s="92">
        <f t="shared" si="0"/>
        <v>4</v>
      </c>
      <c r="D8" s="2" t="s">
        <v>286</v>
      </c>
      <c r="E8" s="2" t="s">
        <v>286</v>
      </c>
      <c r="F8" s="2" t="s">
        <v>286</v>
      </c>
      <c r="G8" s="145"/>
      <c r="H8" s="2"/>
      <c r="I8" s="2"/>
      <c r="J8" s="2" t="s">
        <v>286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 t="e">
        <f t="shared" ca="1" si="1"/>
        <v>#N/A</v>
      </c>
      <c r="AJ8" s="2" t="e">
        <f t="shared" ca="1" si="2"/>
        <v>#N/A</v>
      </c>
      <c r="AK8" s="2" t="e">
        <f t="shared" ca="1" si="3"/>
        <v>#N/A</v>
      </c>
      <c r="AL8" s="2" t="e">
        <f t="shared" ca="1" si="4"/>
        <v>#N/A</v>
      </c>
      <c r="AM8" s="2" t="e">
        <f t="shared" ca="1" si="5"/>
        <v>#N/A</v>
      </c>
      <c r="AN8" s="2" t="s">
        <v>302</v>
      </c>
      <c r="AO8" s="93" t="str">
        <f t="shared" si="6"/>
        <v/>
      </c>
      <c r="AP8" s="94"/>
      <c r="AQ8" s="103" t="str" cm="1">
        <f t="array" aca="1" ref="AQ8" ca="1">IFERROR(INDEX($AI$2:$AI$101, SMALL(IF($AI$2:$AI$101&lt;&gt;"", ROW($AI$2:$AI$101)-1), ROW(A6))), "")</f>
        <v/>
      </c>
      <c r="AR8" s="104" t="str" cm="1">
        <f t="array" aca="1" ref="AR8" ca="1">IFERROR(INDEX($AJ$2:$AJ$101, SMALL(IF($AJ$2:$AJ$101&lt;&gt;"", ROW($AJ$2:$AJ$101)-1), ROW(A6))), "")</f>
        <v/>
      </c>
      <c r="AS8" s="105" t="str" cm="1">
        <f t="array" aca="1" ref="AS8" ca="1">IFERROR(INDEX($AK$2:$AK$101, SMALL(IF($AK$2:$AK$101&lt;&gt;"", ROW($AK$2:$AK$101)-1), ROW(A6))), "")</f>
        <v/>
      </c>
      <c r="AT8" s="106" t="str" cm="1">
        <f t="array" aca="1" ref="AT8" ca="1">IFERROR(INDEX($AL$2:$AL$101, SMALL(IF($AL$2:$AL$101&lt;&gt;"", ROW($AL$2:$AL$101)-1), ROW(A6))), "")</f>
        <v/>
      </c>
      <c r="AU8" s="107" t="str" cm="1">
        <f t="array" aca="1" ref="AU8" ca="1">IFERROR(INDEX($AM$2:$AM$101, SMALL(IF($AM$2:$AM$101&lt;&gt;"", ROW($AM$2:$AM$101)-1), ROW(A6))), "")</f>
        <v/>
      </c>
      <c r="AV8" s="100" t="str" cm="1">
        <f t="array" ref="AV8">IFERROR(INDEX($AO$2:$AO$101, SMALL(IF($AO$2:$AO$101&lt;&gt;"", ROW($AO$2:$AO$101)-1), ROW(A7))), "")</f>
        <v/>
      </c>
    </row>
    <row r="9" spans="1:48">
      <c r="A9" s="90">
        <v>90</v>
      </c>
      <c r="B9" s="102" t="s">
        <v>303</v>
      </c>
      <c r="C9" s="92">
        <f t="shared" si="0"/>
        <v>3</v>
      </c>
      <c r="D9" s="2" t="s">
        <v>286</v>
      </c>
      <c r="E9" s="2"/>
      <c r="F9" s="2"/>
      <c r="G9" s="2" t="s">
        <v>286</v>
      </c>
      <c r="H9" s="2"/>
      <c r="I9" s="2"/>
      <c r="J9" s="2" t="s">
        <v>286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 t="e">
        <f t="shared" ca="1" si="1"/>
        <v>#N/A</v>
      </c>
      <c r="AJ9" s="2" t="e">
        <f t="shared" ca="1" si="2"/>
        <v>#N/A</v>
      </c>
      <c r="AK9" s="2" t="e">
        <f t="shared" ca="1" si="3"/>
        <v>#N/A</v>
      </c>
      <c r="AL9" s="2" t="e">
        <f t="shared" ca="1" si="4"/>
        <v>#N/A</v>
      </c>
      <c r="AM9" s="2" t="e">
        <f t="shared" ca="1" si="5"/>
        <v>#N/A</v>
      </c>
      <c r="AN9" s="2"/>
      <c r="AO9" s="93" t="str">
        <f t="shared" si="6"/>
        <v/>
      </c>
      <c r="AP9" s="94"/>
      <c r="AQ9" s="103" t="str" cm="1">
        <f t="array" aca="1" ref="AQ9" ca="1">IFERROR(INDEX($AI$2:$AI$101, SMALL(IF($AI$2:$AI$101&lt;&gt;"", ROW($AI$2:$AI$101)-1), ROW(A7))), "")</f>
        <v/>
      </c>
      <c r="AR9" s="104" t="str" cm="1">
        <f t="array" aca="1" ref="AR9" ca="1">IFERROR(INDEX($AJ$2:$AJ$101, SMALL(IF($AJ$2:$AJ$101&lt;&gt;"", ROW($AJ$2:$AJ$101)-1), ROW(A7))), "")</f>
        <v/>
      </c>
      <c r="AS9" s="105" t="str" cm="1">
        <f t="array" aca="1" ref="AS9" ca="1">IFERROR(INDEX($AK$2:$AK$101, SMALL(IF($AK$2:$AK$101&lt;&gt;"", ROW($AK$2:$AK$101)-1), ROW(A7))), "")</f>
        <v/>
      </c>
      <c r="AT9" s="106" t="str" cm="1">
        <f t="array" aca="1" ref="AT9" ca="1">IFERROR(INDEX($AL$2:$AL$101, SMALL(IF($AL$2:$AL$101&lt;&gt;"", ROW($AL$2:$AL$101)-1), ROW(A7))), "")</f>
        <v/>
      </c>
      <c r="AU9" s="107" t="str" cm="1">
        <f t="array" aca="1" ref="AU9" ca="1">IFERROR(INDEX($AM$2:$AM$101, SMALL(IF($AM$2:$AM$101&lt;&gt;"", ROW($AM$2:$AM$101)-1), ROW(A7))), "")</f>
        <v/>
      </c>
      <c r="AV9" s="100" t="str" cm="1">
        <f t="array" ref="AV9">IFERROR(INDEX($AO$2:$AO$101, SMALL(IF($AO$2:$AO$101&lt;&gt;"", ROW($AO$2:$AO$101)-1), ROW(A8))), "")</f>
        <v/>
      </c>
    </row>
    <row r="10" spans="1:48">
      <c r="A10" s="90">
        <v>107</v>
      </c>
      <c r="B10" s="102" t="s">
        <v>304</v>
      </c>
      <c r="C10" s="92">
        <f t="shared" si="0"/>
        <v>4</v>
      </c>
      <c r="D10" s="2" t="s">
        <v>286</v>
      </c>
      <c r="E10" s="2" t="s">
        <v>286</v>
      </c>
      <c r="F10" s="2"/>
      <c r="G10" s="145"/>
      <c r="H10" s="145"/>
      <c r="I10" s="2" t="s">
        <v>286</v>
      </c>
      <c r="J10" s="2" t="s">
        <v>286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 t="e">
        <f t="shared" ca="1" si="1"/>
        <v>#N/A</v>
      </c>
      <c r="AJ10" s="2" t="e">
        <f t="shared" ca="1" si="2"/>
        <v>#N/A</v>
      </c>
      <c r="AK10" s="2" t="e">
        <f t="shared" ca="1" si="3"/>
        <v>#N/A</v>
      </c>
      <c r="AL10" s="2" t="e">
        <f t="shared" ca="1" si="4"/>
        <v>#N/A</v>
      </c>
      <c r="AM10" s="2" t="e">
        <f t="shared" ca="1" si="5"/>
        <v>#N/A</v>
      </c>
      <c r="AN10" s="2"/>
      <c r="AO10" s="93" t="str">
        <f t="shared" si="6"/>
        <v/>
      </c>
      <c r="AP10" s="94"/>
      <c r="AQ10" s="103" t="str" cm="1">
        <f t="array" aca="1" ref="AQ10" ca="1">IFERROR(INDEX($AI$2:$AI$101, SMALL(IF($AI$2:$AI$101&lt;&gt;"", ROW($AI$2:$AI$101)-1), ROW(A8))), "")</f>
        <v/>
      </c>
      <c r="AR10" s="104" t="str" cm="1">
        <f t="array" aca="1" ref="AR10" ca="1">IFERROR(INDEX($AJ$2:$AJ$101, SMALL(IF($AJ$2:$AJ$101&lt;&gt;"", ROW($AJ$2:$AJ$101)-1), ROW(A8))), "")</f>
        <v/>
      </c>
      <c r="AS10" s="105" t="str" cm="1">
        <f t="array" aca="1" ref="AS10" ca="1">IFERROR(INDEX($AK$2:$AK$101, SMALL(IF($AK$2:$AK$101&lt;&gt;"", ROW($AK$2:$AK$101)-1), ROW(A8))), "")</f>
        <v/>
      </c>
      <c r="AT10" s="106" t="str" cm="1">
        <f t="array" aca="1" ref="AT10" ca="1">IFERROR(INDEX($AL$2:$AL$101, SMALL(IF($AL$2:$AL$101&lt;&gt;"", ROW($AL$2:$AL$101)-1), ROW(A8))), "")</f>
        <v/>
      </c>
      <c r="AU10" s="107" t="str" cm="1">
        <f t="array" aca="1" ref="AU10" ca="1">IFERROR(INDEX($AM$2:$AM$101, SMALL(IF($AM$2:$AM$101&lt;&gt;"", ROW($AM$2:$AM$101)-1), ROW(A8))), "")</f>
        <v/>
      </c>
      <c r="AV10" s="100" t="str" cm="1">
        <f t="array" ref="AV10">IFERROR(INDEX($AO$2:$AO$101, SMALL(IF($AO$2:$AO$101&lt;&gt;"", ROW($AO$2:$AO$101)-1), ROW(A9))), "")</f>
        <v/>
      </c>
    </row>
    <row r="11" spans="1:48">
      <c r="A11" s="90">
        <v>128</v>
      </c>
      <c r="B11" s="102" t="s">
        <v>305</v>
      </c>
      <c r="C11" s="92">
        <f t="shared" si="0"/>
        <v>5</v>
      </c>
      <c r="D11" s="2" t="s">
        <v>286</v>
      </c>
      <c r="E11" s="2" t="s">
        <v>286</v>
      </c>
      <c r="F11" s="2"/>
      <c r="G11" s="2" t="s">
        <v>286</v>
      </c>
      <c r="H11" s="2" t="s">
        <v>286</v>
      </c>
      <c r="I11" s="2"/>
      <c r="J11" s="2" t="s">
        <v>286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 t="e">
        <f t="shared" ca="1" si="1"/>
        <v>#N/A</v>
      </c>
      <c r="AJ11" s="2" t="e">
        <f t="shared" ca="1" si="2"/>
        <v>#N/A</v>
      </c>
      <c r="AK11" s="2" t="e">
        <f t="shared" ca="1" si="3"/>
        <v>#N/A</v>
      </c>
      <c r="AL11" s="2" t="e">
        <f t="shared" ca="1" si="4"/>
        <v>#N/A</v>
      </c>
      <c r="AM11" s="2" t="e">
        <f t="shared" ca="1" si="5"/>
        <v>#N/A</v>
      </c>
      <c r="AN11" s="2"/>
      <c r="AO11" s="93" t="str">
        <f t="shared" si="6"/>
        <v/>
      </c>
      <c r="AP11" s="94"/>
      <c r="AQ11" s="103" t="str" cm="1">
        <f t="array" aca="1" ref="AQ11" ca="1">IFERROR(INDEX($AI$2:$AI$101, SMALL(IF($AI$2:$AI$101&lt;&gt;"", ROW($AI$2:$AI$101)-1), ROW(A9))), "")</f>
        <v/>
      </c>
      <c r="AR11" s="104" t="str" cm="1">
        <f t="array" aca="1" ref="AR11" ca="1">IFERROR(INDEX($AJ$2:$AJ$101, SMALL(IF($AJ$2:$AJ$101&lt;&gt;"", ROW($AJ$2:$AJ$101)-1), ROW(A9))), "")</f>
        <v/>
      </c>
      <c r="AS11" s="105" t="str" cm="1">
        <f t="array" aca="1" ref="AS11" ca="1">IFERROR(INDEX($AK$2:$AK$101, SMALL(IF($AK$2:$AK$101&lt;&gt;"", ROW($AK$2:$AK$101)-1), ROW(A9))), "")</f>
        <v/>
      </c>
      <c r="AT11" s="106" t="str" cm="1">
        <f t="array" aca="1" ref="AT11" ca="1">IFERROR(INDEX($AL$2:$AL$101, SMALL(IF($AL$2:$AL$101&lt;&gt;"", ROW($AL$2:$AL$101)-1), ROW(A9))), "")</f>
        <v/>
      </c>
      <c r="AU11" s="107" t="str" cm="1">
        <f t="array" aca="1" ref="AU11" ca="1">IFERROR(INDEX($AM$2:$AM$101, SMALL(IF($AM$2:$AM$101&lt;&gt;"", ROW($AM$2:$AM$101)-1), ROW(A9))), "")</f>
        <v/>
      </c>
      <c r="AV11" s="100" t="str" cm="1">
        <f t="array" ref="AV11">IFERROR(INDEX($AO$2:$AO$101, SMALL(IF($AO$2:$AO$101&lt;&gt;"", ROW($AO$2:$AO$101)-1), ROW(A10))), "")</f>
        <v/>
      </c>
    </row>
    <row r="12" spans="1:48">
      <c r="A12" s="90">
        <v>161</v>
      </c>
      <c r="B12" s="102" t="s">
        <v>306</v>
      </c>
      <c r="C12" s="92">
        <f t="shared" si="0"/>
        <v>6</v>
      </c>
      <c r="D12" s="2" t="s">
        <v>286</v>
      </c>
      <c r="E12" s="2" t="s">
        <v>286</v>
      </c>
      <c r="F12" s="2" t="s">
        <v>286</v>
      </c>
      <c r="G12" s="2" t="s">
        <v>286</v>
      </c>
      <c r="H12" s="2"/>
      <c r="I12" s="2" t="s">
        <v>286</v>
      </c>
      <c r="J12" s="2" t="s">
        <v>286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 t="e">
        <f t="shared" ca="1" si="1"/>
        <v>#N/A</v>
      </c>
      <c r="AJ12" s="2" t="e">
        <f t="shared" ca="1" si="2"/>
        <v>#N/A</v>
      </c>
      <c r="AK12" s="2" t="e">
        <f t="shared" ca="1" si="3"/>
        <v>#N/A</v>
      </c>
      <c r="AL12" s="2" t="e">
        <f t="shared" ca="1" si="4"/>
        <v>#N/A</v>
      </c>
      <c r="AM12" s="2" t="e">
        <f t="shared" ca="1" si="5"/>
        <v>#N/A</v>
      </c>
      <c r="AN12" s="2"/>
      <c r="AO12" s="93" t="str">
        <f t="shared" si="6"/>
        <v/>
      </c>
      <c r="AP12" s="94"/>
      <c r="AQ12" s="103" t="str" cm="1">
        <f t="array" aca="1" ref="AQ12" ca="1">IFERROR(INDEX($AI$2:$AI$101, SMALL(IF($AI$2:$AI$101&lt;&gt;"", ROW($AI$2:$AI$101)-1), ROW(A10))), "")</f>
        <v/>
      </c>
      <c r="AR12" s="104" t="str" cm="1">
        <f t="array" aca="1" ref="AR12" ca="1">IFERROR(INDEX($AJ$2:$AJ$101, SMALL(IF($AJ$2:$AJ$101&lt;&gt;"", ROW($AJ$2:$AJ$101)-1), ROW(A10))), "")</f>
        <v/>
      </c>
      <c r="AS12" s="105" t="str" cm="1">
        <f t="array" aca="1" ref="AS12" ca="1">IFERROR(INDEX($AK$2:$AK$101, SMALL(IF($AK$2:$AK$101&lt;&gt;"", ROW($AK$2:$AK$101)-1), ROW(A10))), "")</f>
        <v/>
      </c>
      <c r="AT12" s="106" t="str" cm="1">
        <f t="array" aca="1" ref="AT12" ca="1">IFERROR(INDEX($AL$2:$AL$101, SMALL(IF($AL$2:$AL$101&lt;&gt;"", ROW($AL$2:$AL$101)-1), ROW(A10))), "")</f>
        <v/>
      </c>
      <c r="AU12" s="107" t="str" cm="1">
        <f t="array" aca="1" ref="AU12" ca="1">IFERROR(INDEX($AM$2:$AM$101, SMALL(IF($AM$2:$AM$101&lt;&gt;"", ROW($AM$2:$AM$101)-1), ROW(A10))), "")</f>
        <v/>
      </c>
      <c r="AV12" s="100" t="str" cm="1">
        <f t="array" ref="AV12">IFERROR(INDEX($AO$2:$AO$101, SMALL(IF($AO$2:$AO$101&lt;&gt;"", ROW($AO$2:$AO$101)-1), ROW(A11))), "")</f>
        <v/>
      </c>
    </row>
    <row r="13" spans="1:48">
      <c r="A13" s="90">
        <v>186</v>
      </c>
      <c r="B13" s="102" t="s">
        <v>307</v>
      </c>
      <c r="C13" s="92">
        <f t="shared" si="0"/>
        <v>4</v>
      </c>
      <c r="D13" s="2" t="s">
        <v>286</v>
      </c>
      <c r="E13" s="2"/>
      <c r="F13" s="2" t="s">
        <v>286</v>
      </c>
      <c r="G13" s="2" t="s">
        <v>286</v>
      </c>
      <c r="H13" s="2"/>
      <c r="I13" s="2"/>
      <c r="J13" s="2" t="s">
        <v>286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 t="e">
        <f t="shared" ca="1" si="1"/>
        <v>#N/A</v>
      </c>
      <c r="AJ13" s="2" t="e">
        <f t="shared" ca="1" si="2"/>
        <v>#N/A</v>
      </c>
      <c r="AK13" s="2" t="e">
        <f t="shared" ca="1" si="3"/>
        <v>#N/A</v>
      </c>
      <c r="AL13" s="2" t="e">
        <f t="shared" ca="1" si="4"/>
        <v>#N/A</v>
      </c>
      <c r="AM13" s="2" t="e">
        <f t="shared" ca="1" si="5"/>
        <v>#N/A</v>
      </c>
      <c r="AN13" s="2"/>
      <c r="AO13" s="93" t="str">
        <f t="shared" si="6"/>
        <v/>
      </c>
      <c r="AP13" s="94"/>
      <c r="AQ13" s="103" t="str" cm="1">
        <f t="array" aca="1" ref="AQ13" ca="1">IFERROR(INDEX($AI$2:$AI$101, SMALL(IF($AI$2:$AI$101&lt;&gt;"", ROW($AI$2:$AI$101)-1), ROW(A11))), "")</f>
        <v/>
      </c>
      <c r="AR13" s="104" t="str" cm="1">
        <f t="array" aca="1" ref="AR13" ca="1">IFERROR(INDEX($AJ$2:$AJ$101, SMALL(IF($AJ$2:$AJ$101&lt;&gt;"", ROW($AJ$2:$AJ$101)-1), ROW(A11))), "")</f>
        <v/>
      </c>
      <c r="AS13" s="105" t="str" cm="1">
        <f t="array" aca="1" ref="AS13" ca="1">IFERROR(INDEX($AK$2:$AK$101, SMALL(IF($AK$2:$AK$101&lt;&gt;"", ROW($AK$2:$AK$101)-1), ROW(A11))), "")</f>
        <v/>
      </c>
      <c r="AT13" s="106" t="str" cm="1">
        <f t="array" aca="1" ref="AT13" ca="1">IFERROR(INDEX($AL$2:$AL$101, SMALL(IF($AL$2:$AL$101&lt;&gt;"", ROW($AL$2:$AL$101)-1), ROW(A11))), "")</f>
        <v/>
      </c>
      <c r="AU13" s="107" t="str" cm="1">
        <f t="array" aca="1" ref="AU13" ca="1">IFERROR(INDEX($AM$2:$AM$101, SMALL(IF($AM$2:$AM$101&lt;&gt;"", ROW($AM$2:$AM$101)-1), ROW(A11))), "")</f>
        <v/>
      </c>
      <c r="AV13" s="100" t="str" cm="1">
        <f t="array" ref="AV13">IFERROR(INDEX($AO$2:$AO$101, SMALL(IF($AO$2:$AO$101&lt;&gt;"", ROW($AO$2:$AO$101)-1), ROW(A12))), "")</f>
        <v/>
      </c>
    </row>
    <row r="14" spans="1:48">
      <c r="A14" s="90">
        <v>192</v>
      </c>
      <c r="B14" s="102" t="s">
        <v>308</v>
      </c>
      <c r="C14" s="92">
        <f t="shared" si="0"/>
        <v>4</v>
      </c>
      <c r="D14" s="2" t="s">
        <v>286</v>
      </c>
      <c r="E14" s="2"/>
      <c r="F14" s="2" t="s">
        <v>286</v>
      </c>
      <c r="G14" s="2"/>
      <c r="H14" s="2" t="s">
        <v>286</v>
      </c>
      <c r="I14" s="2" t="s">
        <v>286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 t="e">
        <f t="shared" ca="1" si="1"/>
        <v>#N/A</v>
      </c>
      <c r="AJ14" s="2" t="e">
        <f t="shared" ca="1" si="2"/>
        <v>#N/A</v>
      </c>
      <c r="AK14" s="2" t="e">
        <f t="shared" ca="1" si="3"/>
        <v>#N/A</v>
      </c>
      <c r="AL14" s="2" t="e">
        <f t="shared" ca="1" si="4"/>
        <v>#N/A</v>
      </c>
      <c r="AM14" s="2" t="e">
        <f t="shared" ca="1" si="5"/>
        <v>#N/A</v>
      </c>
      <c r="AN14" s="2"/>
      <c r="AO14" s="93" t="str">
        <f t="shared" si="6"/>
        <v/>
      </c>
      <c r="AP14" s="94"/>
      <c r="AQ14" s="103" t="str" cm="1">
        <f t="array" aca="1" ref="AQ14" ca="1">IFERROR(INDEX($AI$2:$AI$101, SMALL(IF($AI$2:$AI$101&lt;&gt;"", ROW($AI$2:$AI$101)-1), ROW(A12))), "")</f>
        <v/>
      </c>
      <c r="AR14" s="104" t="str" cm="1">
        <f t="array" aca="1" ref="AR14" ca="1">IFERROR(INDEX($AJ$2:$AJ$101, SMALL(IF($AJ$2:$AJ$101&lt;&gt;"", ROW($AJ$2:$AJ$101)-1), ROW(A12))), "")</f>
        <v/>
      </c>
      <c r="AS14" s="105" t="str" cm="1">
        <f t="array" aca="1" ref="AS14" ca="1">IFERROR(INDEX($AK$2:$AK$101, SMALL(IF($AK$2:$AK$101&lt;&gt;"", ROW($AK$2:$AK$101)-1), ROW(A12))), "")</f>
        <v/>
      </c>
      <c r="AT14" s="106" t="str" cm="1">
        <f t="array" aca="1" ref="AT14" ca="1">IFERROR(INDEX($AL$2:$AL$101, SMALL(IF($AL$2:$AL$101&lt;&gt;"", ROW($AL$2:$AL$101)-1), ROW(A12))), "")</f>
        <v/>
      </c>
      <c r="AU14" s="107" t="str" cm="1">
        <f t="array" aca="1" ref="AU14" ca="1">IFERROR(INDEX($AM$2:$AM$101, SMALL(IF($AM$2:$AM$101&lt;&gt;"", ROW($AM$2:$AM$101)-1), ROW(A12))), "")</f>
        <v/>
      </c>
      <c r="AV14" s="100" t="str" cm="1">
        <f t="array" ref="AV14">IFERROR(INDEX($AO$2:$AO$101, SMALL(IF($AO$2:$AO$101&lt;&gt;"", ROW($AO$2:$AO$101)-1), ROW(A13))), "")</f>
        <v/>
      </c>
    </row>
    <row r="15" spans="1:48">
      <c r="A15" s="90">
        <v>199</v>
      </c>
      <c r="B15" s="102" t="s">
        <v>309</v>
      </c>
      <c r="C15" s="92">
        <f t="shared" si="0"/>
        <v>4</v>
      </c>
      <c r="D15" s="2"/>
      <c r="E15" s="2" t="s">
        <v>286</v>
      </c>
      <c r="F15" s="2" t="s">
        <v>286</v>
      </c>
      <c r="G15" s="2"/>
      <c r="H15" s="2"/>
      <c r="I15" s="2" t="s">
        <v>286</v>
      </c>
      <c r="J15" s="2" t="s">
        <v>286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 t="e">
        <f t="shared" ca="1" si="1"/>
        <v>#N/A</v>
      </c>
      <c r="AJ15" s="2" t="e">
        <f t="shared" ca="1" si="2"/>
        <v>#N/A</v>
      </c>
      <c r="AK15" s="2" t="e">
        <f t="shared" ca="1" si="3"/>
        <v>#N/A</v>
      </c>
      <c r="AL15" s="2" t="e">
        <f t="shared" ca="1" si="4"/>
        <v>#N/A</v>
      </c>
      <c r="AM15" s="2" t="e">
        <f t="shared" ca="1" si="5"/>
        <v>#N/A</v>
      </c>
      <c r="AN15" s="2"/>
      <c r="AO15" s="93" t="str">
        <f t="shared" si="6"/>
        <v/>
      </c>
      <c r="AP15" s="94"/>
      <c r="AQ15" s="103" t="str" cm="1">
        <f t="array" aca="1" ref="AQ15" ca="1">IFERROR(INDEX($AI$2:$AI$101, SMALL(IF($AI$2:$AI$101&lt;&gt;"", ROW($AI$2:$AI$101)-1), ROW(A13))), "")</f>
        <v/>
      </c>
      <c r="AR15" s="104" t="str" cm="1">
        <f t="array" aca="1" ref="AR15" ca="1">IFERROR(INDEX($AJ$2:$AJ$101, SMALL(IF($AJ$2:$AJ$101&lt;&gt;"", ROW($AJ$2:$AJ$101)-1), ROW(A13))), "")</f>
        <v/>
      </c>
      <c r="AS15" s="105" t="str" cm="1">
        <f t="array" aca="1" ref="AS15" ca="1">IFERROR(INDEX($AK$2:$AK$101, SMALL(IF($AK$2:$AK$101&lt;&gt;"", ROW($AK$2:$AK$101)-1), ROW(A13))), "")</f>
        <v/>
      </c>
      <c r="AT15" s="106" t="str" cm="1">
        <f t="array" aca="1" ref="AT15" ca="1">IFERROR(INDEX($AL$2:$AL$101, SMALL(IF($AL$2:$AL$101&lt;&gt;"", ROW($AL$2:$AL$101)-1), ROW(A13))), "")</f>
        <v/>
      </c>
      <c r="AU15" s="107" t="str" cm="1">
        <f t="array" aca="1" ref="AU15" ca="1">IFERROR(INDEX($AM$2:$AM$101, SMALL(IF($AM$2:$AM$101&lt;&gt;"", ROW($AM$2:$AM$101)-1), ROW(A13))), "")</f>
        <v/>
      </c>
      <c r="AV15" s="100" t="str" cm="1">
        <f t="array" ref="AV15">IFERROR(INDEX($AO$2:$AO$101, SMALL(IF($AO$2:$AO$101&lt;&gt;"", ROW($AO$2:$AO$101)-1), ROW(A14))), "")</f>
        <v/>
      </c>
    </row>
    <row r="16" spans="1:48">
      <c r="A16" s="90">
        <v>202</v>
      </c>
      <c r="B16" s="102" t="s">
        <v>310</v>
      </c>
      <c r="C16" s="92">
        <f t="shared" si="0"/>
        <v>3</v>
      </c>
      <c r="D16" s="2"/>
      <c r="E16" s="2" t="s">
        <v>286</v>
      </c>
      <c r="F16" s="2"/>
      <c r="G16" s="145"/>
      <c r="H16" s="2" t="s">
        <v>286</v>
      </c>
      <c r="I16" s="2" t="s">
        <v>286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 t="e">
        <f t="shared" ca="1" si="1"/>
        <v>#N/A</v>
      </c>
      <c r="AJ16" s="2" t="e">
        <f t="shared" ca="1" si="2"/>
        <v>#N/A</v>
      </c>
      <c r="AK16" s="2" t="e">
        <f t="shared" ca="1" si="3"/>
        <v>#N/A</v>
      </c>
      <c r="AL16" s="2" t="e">
        <f t="shared" ca="1" si="4"/>
        <v>#N/A</v>
      </c>
      <c r="AM16" s="2" t="e">
        <f t="shared" ca="1" si="5"/>
        <v>#N/A</v>
      </c>
      <c r="AN16" s="2"/>
      <c r="AO16" s="93" t="str">
        <f t="shared" si="6"/>
        <v/>
      </c>
      <c r="AP16" s="94"/>
      <c r="AQ16" s="103" t="str" cm="1">
        <f t="array" aca="1" ref="AQ16" ca="1">IFERROR(INDEX($AI$2:$AI$101, SMALL(IF($AI$2:$AI$101&lt;&gt;"", ROW($AI$2:$AI$101)-1), ROW(A14))), "")</f>
        <v/>
      </c>
      <c r="AR16" s="104" t="str" cm="1">
        <f t="array" aca="1" ref="AR16" ca="1">IFERROR(INDEX($AJ$2:$AJ$101, SMALL(IF($AJ$2:$AJ$101&lt;&gt;"", ROW($AJ$2:$AJ$101)-1), ROW(A14))), "")</f>
        <v/>
      </c>
      <c r="AS16" s="105" t="str" cm="1">
        <f t="array" aca="1" ref="AS16" ca="1">IFERROR(INDEX($AK$2:$AK$101, SMALL(IF($AK$2:$AK$101&lt;&gt;"", ROW($AK$2:$AK$101)-1), ROW(A14))), "")</f>
        <v/>
      </c>
      <c r="AT16" s="106" t="str" cm="1">
        <f t="array" aca="1" ref="AT16" ca="1">IFERROR(INDEX($AL$2:$AL$101, SMALL(IF($AL$2:$AL$101&lt;&gt;"", ROW($AL$2:$AL$101)-1), ROW(A14))), "")</f>
        <v/>
      </c>
      <c r="AU16" s="107" t="str" cm="1">
        <f t="array" aca="1" ref="AU16" ca="1">IFERROR(INDEX($AM$2:$AM$101, SMALL(IF($AM$2:$AM$101&lt;&gt;"", ROW($AM$2:$AM$101)-1), ROW(A14))), "")</f>
        <v/>
      </c>
      <c r="AV16" s="100" t="str" cm="1">
        <f t="array" ref="AV16">IFERROR(INDEX($AO$2:$AO$101, SMALL(IF($AO$2:$AO$101&lt;&gt;"", ROW($AO$2:$AO$101)-1), ROW(A15))), "")</f>
        <v/>
      </c>
    </row>
    <row r="17" spans="1:48">
      <c r="A17" s="90">
        <v>208</v>
      </c>
      <c r="B17" s="102" t="s">
        <v>311</v>
      </c>
      <c r="C17" s="92">
        <f t="shared" si="0"/>
        <v>3</v>
      </c>
      <c r="D17" s="2"/>
      <c r="E17" s="2"/>
      <c r="F17" s="2"/>
      <c r="G17" s="2" t="s">
        <v>286</v>
      </c>
      <c r="H17" s="2"/>
      <c r="I17" s="2" t="s">
        <v>286</v>
      </c>
      <c r="J17" s="2" t="s">
        <v>286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 t="e">
        <f t="shared" ca="1" si="1"/>
        <v>#N/A</v>
      </c>
      <c r="AJ17" s="2" t="e">
        <f t="shared" ca="1" si="2"/>
        <v>#N/A</v>
      </c>
      <c r="AK17" s="2" t="e">
        <f t="shared" ca="1" si="3"/>
        <v>#N/A</v>
      </c>
      <c r="AL17" s="2" t="e">
        <f t="shared" ca="1" si="4"/>
        <v>#N/A</v>
      </c>
      <c r="AM17" s="2" t="e">
        <f t="shared" ca="1" si="5"/>
        <v>#N/A</v>
      </c>
      <c r="AN17" s="2"/>
      <c r="AO17" s="93" t="str">
        <f t="shared" si="6"/>
        <v/>
      </c>
      <c r="AP17" s="94"/>
      <c r="AQ17" s="103" t="str" cm="1">
        <f t="array" aca="1" ref="AQ17" ca="1">IFERROR(INDEX($AI$2:$AI$101, SMALL(IF($AI$2:$AI$101&lt;&gt;"", ROW($AI$2:$AI$101)-1), ROW(A15))), "")</f>
        <v/>
      </c>
      <c r="AR17" s="104" t="str" cm="1">
        <f t="array" aca="1" ref="AR17" ca="1">IFERROR(INDEX($AJ$2:$AJ$101, SMALL(IF($AJ$2:$AJ$101&lt;&gt;"", ROW($AJ$2:$AJ$101)-1), ROW(A15))), "")</f>
        <v/>
      </c>
      <c r="AS17" s="105" t="str" cm="1">
        <f t="array" aca="1" ref="AS17" ca="1">IFERROR(INDEX($AK$2:$AK$101, SMALL(IF($AK$2:$AK$101&lt;&gt;"", ROW($AK$2:$AK$101)-1), ROW(A15))), "")</f>
        <v/>
      </c>
      <c r="AT17" s="106" t="str" cm="1">
        <f t="array" aca="1" ref="AT17" ca="1">IFERROR(INDEX($AL$2:$AL$101, SMALL(IF($AL$2:$AL$101&lt;&gt;"", ROW($AL$2:$AL$101)-1), ROW(A15))), "")</f>
        <v/>
      </c>
      <c r="AU17" s="107" t="str" cm="1">
        <f t="array" aca="1" ref="AU17" ca="1">IFERROR(INDEX($AM$2:$AM$101, SMALL(IF($AM$2:$AM$101&lt;&gt;"", ROW($AM$2:$AM$101)-1), ROW(A15))), "")</f>
        <v/>
      </c>
      <c r="AV17" s="100" t="str" cm="1">
        <f t="array" ref="AV17">IFERROR(INDEX($AO$2:$AO$101, SMALL(IF($AO$2:$AO$101&lt;&gt;"", ROW($AO$2:$AO$101)-1), ROW(A16))), "")</f>
        <v/>
      </c>
    </row>
    <row r="18" spans="1:48">
      <c r="A18" s="90">
        <v>209</v>
      </c>
      <c r="B18" s="91" t="s">
        <v>312</v>
      </c>
      <c r="C18" s="92">
        <f t="shared" si="0"/>
        <v>4</v>
      </c>
      <c r="D18" s="2"/>
      <c r="E18" s="2" t="s">
        <v>286</v>
      </c>
      <c r="F18" s="2"/>
      <c r="G18" s="2" t="s">
        <v>286</v>
      </c>
      <c r="H18" s="2"/>
      <c r="I18" s="2" t="s">
        <v>286</v>
      </c>
      <c r="J18" s="2" t="s">
        <v>286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 t="e">
        <f t="shared" ca="1" si="1"/>
        <v>#N/A</v>
      </c>
      <c r="AJ18" s="2" t="e">
        <f t="shared" ca="1" si="2"/>
        <v>#N/A</v>
      </c>
      <c r="AK18" s="2" t="e">
        <f t="shared" ca="1" si="3"/>
        <v>#N/A</v>
      </c>
      <c r="AL18" s="2" t="e">
        <f t="shared" ca="1" si="4"/>
        <v>#N/A</v>
      </c>
      <c r="AM18" s="2" t="e">
        <f t="shared" ca="1" si="5"/>
        <v>#N/A</v>
      </c>
      <c r="AN18" s="2"/>
      <c r="AO18" s="93" t="str">
        <f t="shared" si="6"/>
        <v/>
      </c>
      <c r="AP18" s="94"/>
      <c r="AQ18" s="103" t="str" cm="1">
        <f t="array" aca="1" ref="AQ18" ca="1">IFERROR(INDEX($AI$2:$AI$101, SMALL(IF($AI$2:$AI$101&lt;&gt;"", ROW($AI$2:$AI$101)-1), ROW(A16))), "")</f>
        <v/>
      </c>
      <c r="AR18" s="104" t="str" cm="1">
        <f t="array" aca="1" ref="AR18" ca="1">IFERROR(INDEX($AJ$2:$AJ$101, SMALL(IF($AJ$2:$AJ$101&lt;&gt;"", ROW($AJ$2:$AJ$101)-1), ROW(A16))), "")</f>
        <v/>
      </c>
      <c r="AS18" s="105" t="str" cm="1">
        <f t="array" aca="1" ref="AS18" ca="1">IFERROR(INDEX($AK$2:$AK$101, SMALL(IF($AK$2:$AK$101&lt;&gt;"", ROW($AK$2:$AK$101)-1), ROW(A16))), "")</f>
        <v/>
      </c>
      <c r="AT18" s="106" t="str" cm="1">
        <f t="array" aca="1" ref="AT18" ca="1">IFERROR(INDEX($AL$2:$AL$101, SMALL(IF($AL$2:$AL$101&lt;&gt;"", ROW($AL$2:$AL$101)-1), ROW(A16))), "")</f>
        <v/>
      </c>
      <c r="AU18" s="107" t="str" cm="1">
        <f t="array" aca="1" ref="AU18" ca="1">IFERROR(INDEX($AM$2:$AM$101, SMALL(IF($AM$2:$AM$101&lt;&gt;"", ROW($AM$2:$AM$101)-1), ROW(A16))), "")</f>
        <v/>
      </c>
      <c r="AV18" s="100" t="str" cm="1">
        <f t="array" ref="AV18">IFERROR(INDEX($AO$2:$AO$101, SMALL(IF($AO$2:$AO$101&lt;&gt;"", ROW($AO$2:$AO$101)-1), ROW(A17))), "")</f>
        <v/>
      </c>
    </row>
    <row r="19" spans="1:48">
      <c r="A19" s="90">
        <v>217</v>
      </c>
      <c r="B19" s="102" t="s">
        <v>313</v>
      </c>
      <c r="C19" s="92">
        <f t="shared" si="0"/>
        <v>1</v>
      </c>
      <c r="D19" s="2"/>
      <c r="E19" s="2"/>
      <c r="F19" s="2"/>
      <c r="G19" s="2"/>
      <c r="H19" s="2"/>
      <c r="I19" s="2" t="s">
        <v>286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 t="e">
        <f t="shared" ca="1" si="1"/>
        <v>#N/A</v>
      </c>
      <c r="AJ19" s="2" t="e">
        <f t="shared" ca="1" si="2"/>
        <v>#N/A</v>
      </c>
      <c r="AK19" s="2" t="e">
        <f t="shared" ca="1" si="3"/>
        <v>#N/A</v>
      </c>
      <c r="AL19" s="2" t="e">
        <f t="shared" ca="1" si="4"/>
        <v>#N/A</v>
      </c>
      <c r="AM19" s="2" t="e">
        <f t="shared" ca="1" si="5"/>
        <v>#N/A</v>
      </c>
      <c r="AN19" s="2"/>
      <c r="AO19" s="93" t="str">
        <f t="shared" si="6"/>
        <v/>
      </c>
      <c r="AP19" s="94"/>
      <c r="AQ19" s="103" t="str" cm="1">
        <f t="array" aca="1" ref="AQ19" ca="1">IFERROR(INDEX($AI$2:$AI$101, SMALL(IF($AI$2:$AI$101&lt;&gt;"", ROW($AI$2:$AI$101)-1), ROW(A17))), "")</f>
        <v/>
      </c>
      <c r="AR19" s="104" t="str" cm="1">
        <f t="array" aca="1" ref="AR19" ca="1">IFERROR(INDEX($AJ$2:$AJ$101, SMALL(IF($AJ$2:$AJ$101&lt;&gt;"", ROW($AJ$2:$AJ$101)-1), ROW(A17))), "")</f>
        <v/>
      </c>
      <c r="AS19" s="105" t="str" cm="1">
        <f t="array" aca="1" ref="AS19" ca="1">IFERROR(INDEX($AK$2:$AK$101, SMALL(IF($AK$2:$AK$101&lt;&gt;"", ROW($AK$2:$AK$101)-1), ROW(A17))), "")</f>
        <v/>
      </c>
      <c r="AT19" s="106" t="str" cm="1">
        <f t="array" aca="1" ref="AT19" ca="1">IFERROR(INDEX($AL$2:$AL$101, SMALL(IF($AL$2:$AL$101&lt;&gt;"", ROW($AL$2:$AL$101)-1), ROW(A17))), "")</f>
        <v/>
      </c>
      <c r="AU19" s="107" t="str" cm="1">
        <f t="array" aca="1" ref="AU19" ca="1">IFERROR(INDEX($AM$2:$AM$101, SMALL(IF($AM$2:$AM$101&lt;&gt;"", ROW($AM$2:$AM$101)-1), ROW(A17))), "")</f>
        <v/>
      </c>
      <c r="AV19" s="100" t="str" cm="1">
        <f t="array" ref="AV19">IFERROR(INDEX($AO$2:$AO$101, SMALL(IF($AO$2:$AO$101&lt;&gt;"", ROW($AO$2:$AO$101)-1), ROW(A18))), "")</f>
        <v/>
      </c>
    </row>
    <row r="20" spans="1:48">
      <c r="A20" s="90">
        <v>218</v>
      </c>
      <c r="B20" s="102" t="s">
        <v>314</v>
      </c>
      <c r="C20" s="92">
        <f t="shared" si="0"/>
        <v>3</v>
      </c>
      <c r="D20" s="2" t="s">
        <v>286</v>
      </c>
      <c r="E20" s="2"/>
      <c r="F20" s="2" t="s">
        <v>286</v>
      </c>
      <c r="G20" s="2"/>
      <c r="H20" s="145"/>
      <c r="I20" s="2" t="s">
        <v>286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 t="e">
        <f t="shared" ca="1" si="1"/>
        <v>#N/A</v>
      </c>
      <c r="AJ20" s="2" t="e">
        <f t="shared" ca="1" si="2"/>
        <v>#N/A</v>
      </c>
      <c r="AK20" s="2" t="e">
        <f t="shared" ca="1" si="3"/>
        <v>#N/A</v>
      </c>
      <c r="AL20" s="2" t="e">
        <f t="shared" ca="1" si="4"/>
        <v>#N/A</v>
      </c>
      <c r="AM20" s="2" t="e">
        <f t="shared" ca="1" si="5"/>
        <v>#N/A</v>
      </c>
      <c r="AN20" s="2"/>
      <c r="AO20" s="93" t="str">
        <f t="shared" si="6"/>
        <v/>
      </c>
      <c r="AP20" s="94"/>
      <c r="AQ20" s="103" t="str" cm="1">
        <f t="array" aca="1" ref="AQ20" ca="1">IFERROR(INDEX($AI$2:$AI$101, SMALL(IF($AI$2:$AI$101&lt;&gt;"", ROW($AI$2:$AI$101)-1), ROW(A18))), "")</f>
        <v/>
      </c>
      <c r="AR20" s="104" t="str" cm="1">
        <f t="array" aca="1" ref="AR20" ca="1">IFERROR(INDEX($AJ$2:$AJ$101, SMALL(IF($AJ$2:$AJ$101&lt;&gt;"", ROW($AJ$2:$AJ$101)-1), ROW(A18))), "")</f>
        <v/>
      </c>
      <c r="AS20" s="105" t="str" cm="1">
        <f t="array" aca="1" ref="AS20" ca="1">IFERROR(INDEX($AK$2:$AK$101, SMALL(IF($AK$2:$AK$101&lt;&gt;"", ROW($AK$2:$AK$101)-1), ROW(A18))), "")</f>
        <v/>
      </c>
      <c r="AT20" s="106" t="str" cm="1">
        <f t="array" aca="1" ref="AT20" ca="1">IFERROR(INDEX($AL$2:$AL$101, SMALL(IF($AL$2:$AL$101&lt;&gt;"", ROW($AL$2:$AL$101)-1), ROW(A18))), "")</f>
        <v/>
      </c>
      <c r="AU20" s="107" t="str" cm="1">
        <f t="array" aca="1" ref="AU20" ca="1">IFERROR(INDEX($AM$2:$AM$101, SMALL(IF($AM$2:$AM$101&lt;&gt;"", ROW($AM$2:$AM$101)-1), ROW(A18))), "")</f>
        <v/>
      </c>
      <c r="AV20" s="100" t="str" cm="1">
        <f t="array" ref="AV20">IFERROR(INDEX($AO$2:$AO$101, SMALL(IF($AO$2:$AO$101&lt;&gt;"", ROW($AO$2:$AO$101)-1), ROW(A19))), "")</f>
        <v/>
      </c>
    </row>
    <row r="21" spans="1:48">
      <c r="A21" s="90">
        <v>224</v>
      </c>
      <c r="B21" s="102" t="s">
        <v>315</v>
      </c>
      <c r="C21" s="92">
        <f t="shared" si="0"/>
        <v>4</v>
      </c>
      <c r="D21" s="2"/>
      <c r="E21" s="2" t="s">
        <v>286</v>
      </c>
      <c r="F21" s="2"/>
      <c r="G21" s="145"/>
      <c r="H21" s="2" t="s">
        <v>286</v>
      </c>
      <c r="I21" s="2" t="s">
        <v>286</v>
      </c>
      <c r="J21" s="2" t="s">
        <v>286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 t="e">
        <f t="shared" ca="1" si="1"/>
        <v>#N/A</v>
      </c>
      <c r="AJ21" s="2" t="e">
        <f t="shared" ca="1" si="2"/>
        <v>#N/A</v>
      </c>
      <c r="AK21" s="2" t="e">
        <f t="shared" ca="1" si="3"/>
        <v>#N/A</v>
      </c>
      <c r="AL21" s="2" t="e">
        <f t="shared" ca="1" si="4"/>
        <v>#N/A</v>
      </c>
      <c r="AM21" s="2" t="e">
        <f t="shared" ca="1" si="5"/>
        <v>#N/A</v>
      </c>
      <c r="AN21" s="2"/>
      <c r="AO21" s="93" t="str">
        <f t="shared" si="6"/>
        <v/>
      </c>
      <c r="AP21" s="94"/>
      <c r="AQ21" s="103" t="str" cm="1">
        <f t="array" aca="1" ref="AQ21" ca="1">IFERROR(INDEX($AI$2:$AI$101, SMALL(IF($AI$2:$AI$101&lt;&gt;"", ROW($AI$2:$AI$101)-1), ROW(A19))), "")</f>
        <v/>
      </c>
      <c r="AR21" s="104" t="str" cm="1">
        <f t="array" aca="1" ref="AR21" ca="1">IFERROR(INDEX($AJ$2:$AJ$101, SMALL(IF($AJ$2:$AJ$101&lt;&gt;"", ROW($AJ$2:$AJ$101)-1), ROW(A19))), "")</f>
        <v/>
      </c>
      <c r="AS21" s="105" t="str" cm="1">
        <f t="array" aca="1" ref="AS21" ca="1">IFERROR(INDEX($AK$2:$AK$101, SMALL(IF($AK$2:$AK$101&lt;&gt;"", ROW($AK$2:$AK$101)-1), ROW(A19))), "")</f>
        <v/>
      </c>
      <c r="AT21" s="106" t="str" cm="1">
        <f t="array" aca="1" ref="AT21" ca="1">IFERROR(INDEX($AL$2:$AL$101, SMALL(IF($AL$2:$AL$101&lt;&gt;"", ROW($AL$2:$AL$101)-1), ROW(A19))), "")</f>
        <v/>
      </c>
      <c r="AU21" s="107" t="str" cm="1">
        <f t="array" aca="1" ref="AU21" ca="1">IFERROR(INDEX($AM$2:$AM$101, SMALL(IF($AM$2:$AM$101&lt;&gt;"", ROW($AM$2:$AM$101)-1), ROW(A19))), "")</f>
        <v/>
      </c>
      <c r="AV21" s="100" t="str" cm="1">
        <f t="array" ref="AV21">IFERROR(INDEX($AO$2:$AO$101, SMALL(IF($AO$2:$AO$101&lt;&gt;"", ROW($AO$2:$AO$101)-1), ROW(A20))), "")</f>
        <v/>
      </c>
    </row>
    <row r="22" spans="1:48">
      <c r="A22" s="90">
        <v>232</v>
      </c>
      <c r="B22" s="102" t="s">
        <v>316</v>
      </c>
      <c r="C22" s="92">
        <f t="shared" si="0"/>
        <v>4</v>
      </c>
      <c r="D22" s="2" t="s">
        <v>286</v>
      </c>
      <c r="E22" s="2"/>
      <c r="F22" s="2"/>
      <c r="G22" s="2" t="s">
        <v>286</v>
      </c>
      <c r="H22" s="2"/>
      <c r="I22" s="2" t="s">
        <v>286</v>
      </c>
      <c r="J22" s="2" t="s">
        <v>286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 t="e">
        <f t="shared" ca="1" si="1"/>
        <v>#N/A</v>
      </c>
      <c r="AJ22" s="2" t="e">
        <f t="shared" ca="1" si="2"/>
        <v>#N/A</v>
      </c>
      <c r="AK22" s="2" t="e">
        <f t="shared" ca="1" si="3"/>
        <v>#N/A</v>
      </c>
      <c r="AL22" s="2" t="e">
        <f t="shared" ca="1" si="4"/>
        <v>#N/A</v>
      </c>
      <c r="AM22" s="2" t="e">
        <f t="shared" ca="1" si="5"/>
        <v>#N/A</v>
      </c>
      <c r="AN22" s="2"/>
      <c r="AO22" s="93" t="str">
        <f t="shared" si="6"/>
        <v/>
      </c>
      <c r="AP22" s="94"/>
      <c r="AQ22" s="103" t="str" cm="1">
        <f t="array" aca="1" ref="AQ22" ca="1">IFERROR(INDEX($AI$2:$AI$101, SMALL(IF($AI$2:$AI$101&lt;&gt;"", ROW($AI$2:$AI$101)-1), ROW(A20))), "")</f>
        <v/>
      </c>
      <c r="AR22" s="104" t="str" cm="1">
        <f t="array" aca="1" ref="AR22" ca="1">IFERROR(INDEX($AJ$2:$AJ$101, SMALL(IF($AJ$2:$AJ$101&lt;&gt;"", ROW($AJ$2:$AJ$101)-1), ROW(A20))), "")</f>
        <v/>
      </c>
      <c r="AS22" s="105" t="str" cm="1">
        <f t="array" aca="1" ref="AS22" ca="1">IFERROR(INDEX($AK$2:$AK$101, SMALL(IF($AK$2:$AK$101&lt;&gt;"", ROW($AK$2:$AK$101)-1), ROW(A20))), "")</f>
        <v/>
      </c>
      <c r="AT22" s="106" t="str" cm="1">
        <f t="array" aca="1" ref="AT22" ca="1">IFERROR(INDEX($AL$2:$AL$101, SMALL(IF($AL$2:$AL$101&lt;&gt;"", ROW($AL$2:$AL$101)-1), ROW(A20))), "")</f>
        <v/>
      </c>
      <c r="AU22" s="107" t="str" cm="1">
        <f t="array" aca="1" ref="AU22" ca="1">IFERROR(INDEX($AM$2:$AM$101, SMALL(IF($AM$2:$AM$101&lt;&gt;"", ROW($AM$2:$AM$101)-1), ROW(A20))), "")</f>
        <v/>
      </c>
      <c r="AV22" s="100" t="str" cm="1">
        <f t="array" ref="AV22">IFERROR(INDEX($AO$2:$AO$101, SMALL(IF($AO$2:$AO$101&lt;&gt;"", ROW($AO$2:$AO$101)-1), ROW(A21))), "")</f>
        <v/>
      </c>
    </row>
    <row r="23" spans="1:48">
      <c r="A23" s="90">
        <v>236</v>
      </c>
      <c r="B23" s="102" t="s">
        <v>317</v>
      </c>
      <c r="C23" s="92">
        <f t="shared" si="0"/>
        <v>4</v>
      </c>
      <c r="D23" s="2"/>
      <c r="E23" s="2" t="s">
        <v>286</v>
      </c>
      <c r="F23" s="2"/>
      <c r="G23" s="2" t="s">
        <v>286</v>
      </c>
      <c r="H23" s="2"/>
      <c r="I23" s="2" t="s">
        <v>286</v>
      </c>
      <c r="J23" s="2" t="s">
        <v>286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 t="e">
        <f t="shared" ca="1" si="1"/>
        <v>#N/A</v>
      </c>
      <c r="AJ23" s="2" t="e">
        <f t="shared" ca="1" si="2"/>
        <v>#N/A</v>
      </c>
      <c r="AK23" s="2" t="e">
        <f t="shared" ca="1" si="3"/>
        <v>#N/A</v>
      </c>
      <c r="AL23" s="2" t="e">
        <f t="shared" ca="1" si="4"/>
        <v>#N/A</v>
      </c>
      <c r="AM23" s="2" t="e">
        <f t="shared" ca="1" si="5"/>
        <v>#N/A</v>
      </c>
      <c r="AN23" s="2"/>
      <c r="AO23" s="93" t="str">
        <f t="shared" si="6"/>
        <v/>
      </c>
      <c r="AP23" s="94"/>
      <c r="AQ23" s="103" t="str" cm="1">
        <f t="array" aca="1" ref="AQ23" ca="1">IFERROR(INDEX($AI$2:$AI$101, SMALL(IF($AI$2:$AI$101&lt;&gt;"", ROW($AI$2:$AI$101)-1), ROW(A21))), "")</f>
        <v/>
      </c>
      <c r="AR23" s="104" t="str" cm="1">
        <f t="array" aca="1" ref="AR23" ca="1">IFERROR(INDEX($AJ$2:$AJ$101, SMALL(IF($AJ$2:$AJ$101&lt;&gt;"", ROW($AJ$2:$AJ$101)-1), ROW(A21))), "")</f>
        <v/>
      </c>
      <c r="AS23" s="105" t="str" cm="1">
        <f t="array" aca="1" ref="AS23" ca="1">IFERROR(INDEX($AK$2:$AK$101, SMALL(IF($AK$2:$AK$101&lt;&gt;"", ROW($AK$2:$AK$101)-1), ROW(A21))), "")</f>
        <v/>
      </c>
      <c r="AT23" s="106" t="str" cm="1">
        <f t="array" aca="1" ref="AT23" ca="1">IFERROR(INDEX($AL$2:$AL$101, SMALL(IF($AL$2:$AL$101&lt;&gt;"", ROW($AL$2:$AL$101)-1), ROW(A21))), "")</f>
        <v/>
      </c>
      <c r="AU23" s="107" t="str" cm="1">
        <f t="array" aca="1" ref="AU23" ca="1">IFERROR(INDEX($AM$2:$AM$101, SMALL(IF($AM$2:$AM$101&lt;&gt;"", ROW($AM$2:$AM$101)-1), ROW(A21))), "")</f>
        <v/>
      </c>
      <c r="AV23" s="100" t="str" cm="1">
        <f t="array" ref="AV23">IFERROR(INDEX($AO$2:$AO$101, SMALL(IF($AO$2:$AO$101&lt;&gt;"", ROW($AO$2:$AO$101)-1), ROW(A22))), "")</f>
        <v/>
      </c>
    </row>
    <row r="24" spans="1:48">
      <c r="A24" s="90">
        <v>244</v>
      </c>
      <c r="B24" s="102" t="s">
        <v>318</v>
      </c>
      <c r="C24" s="92">
        <f t="shared" si="0"/>
        <v>5</v>
      </c>
      <c r="D24" s="2" t="s">
        <v>286</v>
      </c>
      <c r="E24" s="2"/>
      <c r="F24" s="2" t="s">
        <v>286</v>
      </c>
      <c r="G24" s="2" t="s">
        <v>286</v>
      </c>
      <c r="H24" s="2" t="s">
        <v>286</v>
      </c>
      <c r="I24" s="2" t="s">
        <v>286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 t="e">
        <f t="shared" ca="1" si="1"/>
        <v>#N/A</v>
      </c>
      <c r="AJ24" s="2" t="e">
        <f t="shared" ca="1" si="2"/>
        <v>#N/A</v>
      </c>
      <c r="AK24" s="2" t="e">
        <f t="shared" ca="1" si="3"/>
        <v>#N/A</v>
      </c>
      <c r="AL24" s="2" t="e">
        <f t="shared" ca="1" si="4"/>
        <v>#N/A</v>
      </c>
      <c r="AM24" s="2" t="e">
        <f t="shared" ca="1" si="5"/>
        <v>#N/A</v>
      </c>
      <c r="AN24" s="2"/>
      <c r="AO24" s="93" t="str">
        <f t="shared" si="6"/>
        <v/>
      </c>
      <c r="AP24" s="94"/>
      <c r="AQ24" s="103" t="str" cm="1">
        <f t="array" aca="1" ref="AQ24" ca="1">IFERROR(INDEX($AI$2:$AI$101, SMALL(IF($AI$2:$AI$101&lt;&gt;"", ROW($AI$2:$AI$101)-1), ROW(A22))), "")</f>
        <v/>
      </c>
      <c r="AR24" s="104" t="str" cm="1">
        <f t="array" aca="1" ref="AR24" ca="1">IFERROR(INDEX($AJ$2:$AJ$101, SMALL(IF($AJ$2:$AJ$101&lt;&gt;"", ROW($AJ$2:$AJ$101)-1), ROW(A22))), "")</f>
        <v/>
      </c>
      <c r="AS24" s="105" t="str" cm="1">
        <f t="array" aca="1" ref="AS24" ca="1">IFERROR(INDEX($AK$2:$AK$101, SMALL(IF($AK$2:$AK$101&lt;&gt;"", ROW($AK$2:$AK$101)-1), ROW(A22))), "")</f>
        <v/>
      </c>
      <c r="AT24" s="106" t="str" cm="1">
        <f t="array" aca="1" ref="AT24" ca="1">IFERROR(INDEX($AL$2:$AL$101, SMALL(IF($AL$2:$AL$101&lt;&gt;"", ROW($AL$2:$AL$101)-1), ROW(A22))), "")</f>
        <v/>
      </c>
      <c r="AU24" s="107" t="str" cm="1">
        <f t="array" aca="1" ref="AU24" ca="1">IFERROR(INDEX($AM$2:$AM$101, SMALL(IF($AM$2:$AM$101&lt;&gt;"", ROW($AM$2:$AM$101)-1), ROW(A22))), "")</f>
        <v/>
      </c>
      <c r="AV24" s="100" t="str" cm="1">
        <f t="array" ref="AV24">IFERROR(INDEX($AO$2:$AO$101, SMALL(IF($AO$2:$AO$101&lt;&gt;"", ROW($AO$2:$AO$101)-1), ROW(A21))), "")</f>
        <v/>
      </c>
    </row>
    <row r="25" spans="1:48">
      <c r="A25" s="90">
        <v>245</v>
      </c>
      <c r="B25" s="102" t="s">
        <v>319</v>
      </c>
      <c r="C25" s="92">
        <f t="shared" si="0"/>
        <v>1</v>
      </c>
      <c r="D25" s="2"/>
      <c r="E25" s="2"/>
      <c r="F25" s="2"/>
      <c r="G25" s="2"/>
      <c r="H25" s="2"/>
      <c r="I25" s="2"/>
      <c r="J25" s="2" t="s">
        <v>286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 t="e">
        <f t="shared" ca="1" si="1"/>
        <v>#N/A</v>
      </c>
      <c r="AJ25" s="2" t="e">
        <f t="shared" ca="1" si="2"/>
        <v>#N/A</v>
      </c>
      <c r="AK25" s="2" t="e">
        <f t="shared" ca="1" si="3"/>
        <v>#N/A</v>
      </c>
      <c r="AL25" s="2" t="e">
        <f t="shared" ca="1" si="4"/>
        <v>#N/A</v>
      </c>
      <c r="AM25" s="2" t="e">
        <f t="shared" ca="1" si="5"/>
        <v>#N/A</v>
      </c>
      <c r="AN25" s="2"/>
      <c r="AO25" s="93" t="str">
        <f t="shared" si="6"/>
        <v/>
      </c>
      <c r="AP25" s="94"/>
      <c r="AQ25" s="103" t="str" cm="1">
        <f t="array" aca="1" ref="AQ25" ca="1">IFERROR(INDEX($AI$2:$AI$101, SMALL(IF($AI$2:$AI$101&lt;&gt;"", ROW($AI$2:$AI$101)-1), ROW(A21))), "")</f>
        <v/>
      </c>
      <c r="AR25" s="104" t="str" cm="1">
        <f t="array" aca="1" ref="AR25" ca="1">IFERROR(INDEX($AJ$2:$AJ$101, SMALL(IF($AJ$2:$AJ$101&lt;&gt;"", ROW($AJ$2:$AJ$101)-1), ROW(A21))), "")</f>
        <v/>
      </c>
      <c r="AS25" s="105" t="str" cm="1">
        <f t="array" aca="1" ref="AS25" ca="1">IFERROR(INDEX($AK$2:$AK$101, SMALL(IF($AK$2:$AK$101&lt;&gt;"", ROW($AK$2:$AK$101)-1), ROW(A21))), "")</f>
        <v/>
      </c>
      <c r="AT25" s="106" t="str" cm="1">
        <f t="array" aca="1" ref="AT25" ca="1">IFERROR(INDEX($AL$2:$AL$101, SMALL(IF($AL$2:$AL$101&lt;&gt;"", ROW($AL$2:$AL$101)-1), ROW(A21))), "")</f>
        <v/>
      </c>
      <c r="AU25" s="107" t="str" cm="1">
        <f t="array" aca="1" ref="AU25" ca="1">IFERROR(INDEX($AM$2:$AM$101, SMALL(IF($AM$2:$AM$101&lt;&gt;"", ROW($AM$2:$AM$101)-1), ROW(A21))), "")</f>
        <v/>
      </c>
      <c r="AV25" s="100" t="str" cm="1">
        <f t="array" ref="AV25">IFERROR(INDEX($AO$2:$AO$101, SMALL(IF($AO$2:$AO$101&lt;&gt;"", ROW($AO$2:$AO$101)-1), ROW(A22))), "")</f>
        <v/>
      </c>
    </row>
    <row r="26" spans="1:48" hidden="1">
      <c r="A26" s="90">
        <v>246</v>
      </c>
      <c r="B26" s="102" t="s">
        <v>320</v>
      </c>
      <c r="C26" s="92">
        <f t="shared" si="0"/>
        <v>1</v>
      </c>
      <c r="D26" s="2"/>
      <c r="E26" s="2" t="s">
        <v>286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 t="e">
        <f t="shared" ca="1" si="1"/>
        <v>#N/A</v>
      </c>
      <c r="AJ26" s="2" t="e">
        <f t="shared" ca="1" si="2"/>
        <v>#N/A</v>
      </c>
      <c r="AK26" s="2" t="e">
        <f t="shared" ca="1" si="3"/>
        <v>#N/A</v>
      </c>
      <c r="AL26" s="2" t="e">
        <f t="shared" ca="1" si="4"/>
        <v>#N/A</v>
      </c>
      <c r="AM26" s="2" t="e">
        <f t="shared" ca="1" si="5"/>
        <v>#N/A</v>
      </c>
      <c r="AN26" s="2"/>
      <c r="AO26" s="93" t="str">
        <f t="shared" si="6"/>
        <v/>
      </c>
      <c r="AP26" s="94"/>
      <c r="AQ26" s="103" t="str" cm="1">
        <f t="array" aca="1" ref="AQ26" ca="1">IFERROR(INDEX($AI$2:$AI$101, SMALL(IF($AI$2:$AI$101&lt;&gt;"", ROW($AI$2:$AI$101)-1), ROW(A22))), "")</f>
        <v/>
      </c>
      <c r="AR26" s="104" t="str" cm="1">
        <f t="array" aca="1" ref="AR26" ca="1">IFERROR(INDEX($AJ$2:$AJ$101, SMALL(IF($AJ$2:$AJ$101&lt;&gt;"", ROW($AJ$2:$AJ$101)-1), ROW(A22))), "")</f>
        <v/>
      </c>
      <c r="AS26" s="105" t="str" cm="1">
        <f t="array" aca="1" ref="AS26" ca="1">IFERROR(INDEX($AK$2:$AK$101, SMALL(IF($AK$2:$AK$101&lt;&gt;"", ROW($AK$2:$AK$101)-1), ROW(A22))), "")</f>
        <v/>
      </c>
      <c r="AT26" s="106" t="str" cm="1">
        <f t="array" aca="1" ref="AT26" ca="1">IFERROR(INDEX($AL$2:$AL$101, SMALL(IF($AL$2:$AL$101&lt;&gt;"", ROW($AL$2:$AL$101)-1), ROW(A22))), "")</f>
        <v/>
      </c>
      <c r="AU26" s="107" t="str" cm="1">
        <f t="array" aca="1" ref="AU26" ca="1">IFERROR(INDEX($AM$2:$AM$101, SMALL(IF($AM$2:$AM$101&lt;&gt;"", ROW($AM$2:$AM$101)-1), ROW(A22))), "")</f>
        <v/>
      </c>
      <c r="AV26" s="100" t="str" cm="1">
        <f t="array" ref="AV26">IFERROR(INDEX($AO$2:$AO$101, SMALL(IF($AO$2:$AO$101&lt;&gt;"", ROW($AO$2:$AO$101)-1), ROW(A25))), "")</f>
        <v/>
      </c>
    </row>
    <row r="27" spans="1:48">
      <c r="A27" s="90">
        <v>268</v>
      </c>
      <c r="B27" s="102" t="s">
        <v>321</v>
      </c>
      <c r="C27" s="92">
        <f t="shared" si="0"/>
        <v>3</v>
      </c>
      <c r="D27" s="2"/>
      <c r="E27" s="2"/>
      <c r="F27" s="2" t="s">
        <v>286</v>
      </c>
      <c r="G27" s="2" t="s">
        <v>286</v>
      </c>
      <c r="H27" s="2"/>
      <c r="I27" s="2"/>
      <c r="J27" s="2" t="s">
        <v>286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 t="e">
        <f t="shared" ca="1" si="1"/>
        <v>#N/A</v>
      </c>
      <c r="AJ27" s="2" t="e">
        <f t="shared" ca="1" si="2"/>
        <v>#N/A</v>
      </c>
      <c r="AK27" s="2" t="e">
        <f t="shared" ca="1" si="3"/>
        <v>#N/A</v>
      </c>
      <c r="AL27" s="2" t="e">
        <f t="shared" ca="1" si="4"/>
        <v>#N/A</v>
      </c>
      <c r="AM27" s="2" t="e">
        <f t="shared" ca="1" si="5"/>
        <v>#N/A</v>
      </c>
      <c r="AN27" s="2"/>
      <c r="AO27" s="93" t="str">
        <f t="shared" si="6"/>
        <v/>
      </c>
      <c r="AP27" s="94"/>
      <c r="AQ27" s="103" t="str" cm="1">
        <f t="array" aca="1" ref="AQ27" ca="1">IFERROR(INDEX($AI$2:$AI$101, SMALL(IF($AI$2:$AI$101&lt;&gt;"", ROW($AI$2:$AI$101)-1), ROW(A25))), "")</f>
        <v/>
      </c>
      <c r="AR27" s="104" t="str" cm="1">
        <f t="array" aca="1" ref="AR27" ca="1">IFERROR(INDEX($AJ$2:$AJ$101, SMALL(IF($AJ$2:$AJ$101&lt;&gt;"", ROW($AJ$2:$AJ$101)-1), ROW(A25))), "")</f>
        <v/>
      </c>
      <c r="AS27" s="105" t="str" cm="1">
        <f t="array" aca="1" ref="AS27" ca="1">IFERROR(INDEX($AK$2:$AK$101, SMALL(IF($AK$2:$AK$101&lt;&gt;"", ROW($AK$2:$AK$101)-1), ROW(A25))), "")</f>
        <v/>
      </c>
      <c r="AT27" s="106" t="str" cm="1">
        <f t="array" aca="1" ref="AT27" ca="1">IFERROR(INDEX($AL$2:$AL$101, SMALL(IF($AL$2:$AL$101&lt;&gt;"", ROW($AL$2:$AL$101)-1), ROW(A25))), "")</f>
        <v/>
      </c>
      <c r="AU27" s="107" t="str" cm="1">
        <f t="array" aca="1" ref="AU27" ca="1">IFERROR(INDEX($AM$2:$AM$101, SMALL(IF($AM$2:$AM$101&lt;&gt;"", ROW($AM$2:$AM$101)-1), ROW(A25))), "")</f>
        <v/>
      </c>
      <c r="AV27" s="100" t="str" cm="1">
        <f t="array" ref="AV27">IFERROR(INDEX($AO$2:$AO$101, SMALL(IF($AO$2:$AO$101&lt;&gt;"", ROW($AO$2:$AO$101)-1), ROW(A26))), "")</f>
        <v/>
      </c>
    </row>
    <row r="28" spans="1:48">
      <c r="A28" s="108">
        <v>269</v>
      </c>
      <c r="B28" s="109" t="s">
        <v>322</v>
      </c>
      <c r="C28" s="92">
        <f t="shared" si="0"/>
        <v>4</v>
      </c>
      <c r="D28" s="2"/>
      <c r="E28" s="2" t="s">
        <v>286</v>
      </c>
      <c r="F28" s="2" t="s">
        <v>286</v>
      </c>
      <c r="G28" s="2" t="s">
        <v>286</v>
      </c>
      <c r="H28" s="2"/>
      <c r="I28" s="2" t="s">
        <v>286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 t="e">
        <f t="shared" ca="1" si="1"/>
        <v>#N/A</v>
      </c>
      <c r="AJ28" s="2" t="e">
        <f t="shared" ca="1" si="2"/>
        <v>#N/A</v>
      </c>
      <c r="AK28" s="2" t="e">
        <f t="shared" ca="1" si="3"/>
        <v>#N/A</v>
      </c>
      <c r="AL28" s="2" t="e">
        <f t="shared" ca="1" si="4"/>
        <v>#N/A</v>
      </c>
      <c r="AM28" s="2" t="e">
        <f t="shared" ca="1" si="5"/>
        <v>#N/A</v>
      </c>
      <c r="AN28" s="2"/>
      <c r="AO28" s="93" t="str">
        <f t="shared" si="6"/>
        <v/>
      </c>
      <c r="AP28" s="94"/>
      <c r="AQ28" s="103" t="str" cm="1">
        <f t="array" aca="1" ref="AQ28" ca="1">IFERROR(INDEX($AI$2:$AI$101, SMALL(IF($AI$2:$AI$101&lt;&gt;"", ROW($AI$2:$AI$101)-1), ROW(A26))), "")</f>
        <v/>
      </c>
      <c r="AR28" s="104" t="str" cm="1">
        <f t="array" aca="1" ref="AR28" ca="1">IFERROR(INDEX($AJ$2:$AJ$101, SMALL(IF($AJ$2:$AJ$101&lt;&gt;"", ROW($AJ$2:$AJ$101)-1), ROW(A26))), "")</f>
        <v/>
      </c>
      <c r="AS28" s="105" t="str" cm="1">
        <f t="array" aca="1" ref="AS28" ca="1">IFERROR(INDEX($AK$2:$AK$101, SMALL(IF($AK$2:$AK$101&lt;&gt;"", ROW($AK$2:$AK$101)-1), ROW(A26))), "")</f>
        <v/>
      </c>
      <c r="AT28" s="106" t="str" cm="1">
        <f t="array" aca="1" ref="AT28" ca="1">IFERROR(INDEX($AL$2:$AL$101, SMALL(IF($AL$2:$AL$101&lt;&gt;"", ROW($AL$2:$AL$101)-1), ROW(A26))), "")</f>
        <v/>
      </c>
      <c r="AU28" s="107" t="str" cm="1">
        <f t="array" aca="1" ref="AU28" ca="1">IFERROR(INDEX($AM$2:$AM$101, SMALL(IF($AM$2:$AM$101&lt;&gt;"", ROW($AM$2:$AM$101)-1), ROW(A26))), "")</f>
        <v/>
      </c>
      <c r="AV28" s="100" t="str" cm="1">
        <f t="array" ref="AV28">IFERROR(INDEX($AO$2:$AO$101, SMALL(IF($AO$2:$AO$101&lt;&gt;"", ROW($AO$2:$AO$101)-1), ROW(A27))), "")</f>
        <v/>
      </c>
    </row>
    <row r="29" spans="1:48">
      <c r="A29" s="113">
        <v>270</v>
      </c>
      <c r="B29" s="111" t="s">
        <v>323</v>
      </c>
      <c r="C29" s="112">
        <f t="shared" si="0"/>
        <v>4</v>
      </c>
      <c r="D29" s="2" t="s">
        <v>286</v>
      </c>
      <c r="E29" s="2" t="s">
        <v>286</v>
      </c>
      <c r="F29" s="2" t="s">
        <v>286</v>
      </c>
      <c r="G29" s="2"/>
      <c r="H29" s="2"/>
      <c r="I29" s="2"/>
      <c r="J29" s="2" t="s">
        <v>286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 t="e">
        <f t="shared" ca="1" si="1"/>
        <v>#N/A</v>
      </c>
      <c r="AJ29" s="2" t="e">
        <f t="shared" ca="1" si="2"/>
        <v>#N/A</v>
      </c>
      <c r="AK29" s="2" t="e">
        <f t="shared" ca="1" si="3"/>
        <v>#N/A</v>
      </c>
      <c r="AL29" s="2" t="e">
        <f t="shared" ca="1" si="4"/>
        <v>#N/A</v>
      </c>
      <c r="AM29" s="2" t="e">
        <f t="shared" ca="1" si="5"/>
        <v>#N/A</v>
      </c>
      <c r="AN29" s="2"/>
      <c r="AO29" s="93" t="str">
        <f t="shared" si="6"/>
        <v/>
      </c>
      <c r="AP29" s="94"/>
      <c r="AQ29" s="103" t="str" cm="1">
        <f t="array" aca="1" ref="AQ29" ca="1">IFERROR(INDEX($AI$2:$AI$101, SMALL(IF($AI$2:$AI$101&lt;&gt;"", ROW($AI$2:$AI$101)-1), ROW(A27))), "")</f>
        <v/>
      </c>
      <c r="AR29" s="104" t="str" cm="1">
        <f t="array" aca="1" ref="AR29" ca="1">IFERROR(INDEX($AJ$2:$AJ$101, SMALL(IF($AJ$2:$AJ$101&lt;&gt;"", ROW($AJ$2:$AJ$101)-1), ROW(A27))), "")</f>
        <v/>
      </c>
      <c r="AS29" s="105" t="str" cm="1">
        <f t="array" aca="1" ref="AS29" ca="1">IFERROR(INDEX($AK$2:$AK$101, SMALL(IF($AK$2:$AK$101&lt;&gt;"", ROW($AK$2:$AK$101)-1), ROW(A27))), "")</f>
        <v/>
      </c>
      <c r="AT29" s="106" t="str" cm="1">
        <f t="array" aca="1" ref="AT29" ca="1">IFERROR(INDEX($AL$2:$AL$101, SMALL(IF($AL$2:$AL$101&lt;&gt;"", ROW($AL$2:$AL$101)-1), ROW(A27))), "")</f>
        <v/>
      </c>
      <c r="AU29" s="107" t="str" cm="1">
        <f t="array" aca="1" ref="AU29" ca="1">IFERROR(INDEX($AM$2:$AM$101, SMALL(IF($AM$2:$AM$101&lt;&gt;"", ROW($AM$2:$AM$101)-1), ROW(A27))), "")</f>
        <v/>
      </c>
      <c r="AV29" s="100" t="str" cm="1">
        <f t="array" ref="AV29">IFERROR(INDEX($AO$2:$AO$101, SMALL(IF($AO$2:$AO$101&lt;&gt;"", ROW($AO$2:$AO$101)-1), ROW(A28))), "")</f>
        <v/>
      </c>
    </row>
    <row r="30" spans="1:48" hidden="1">
      <c r="A30" s="113">
        <v>247</v>
      </c>
      <c r="B30" s="114" t="s">
        <v>324</v>
      </c>
      <c r="C30" s="112">
        <f t="shared" ref="C30" si="7">COUNTA(D30:AG30)</f>
        <v>3</v>
      </c>
      <c r="D30" s="2" t="s">
        <v>286</v>
      </c>
      <c r="E30" s="2"/>
      <c r="F30" s="2" t="s">
        <v>286</v>
      </c>
      <c r="G30" s="2" t="s">
        <v>286</v>
      </c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 t="e">
        <f t="shared" ref="AI30" ca="1" si="8">IF(OR(INDEX(D30:AH30,MATCH(TODAY(),D$1:AH$1,0))="sim", INDEX(D30:AH30,MATCH(TODAY(),D$1:AH$1,0))="atestado"), $B30, "")</f>
        <v>#N/A</v>
      </c>
      <c r="AJ30" s="2" t="e">
        <f t="shared" ref="AJ30" ca="1" si="9">IF(OR(INDEX(D30:AH30,MATCH(TODAY()-1,D$1:AH$1,0))="sim", INDEX(D30:AH30,MATCH(TODAY()-1,D$1:AH$1,0))="atestado"), $B30, "")</f>
        <v>#N/A</v>
      </c>
      <c r="AK30" s="2" t="e">
        <f t="shared" ref="AK30" ca="1" si="10">IF(OR(INDEX(D30:AH30,MATCH(TODAY()-2,D$1:AH$1,0))="sim", INDEX(D30:AH30,MATCH(TODAY()-2,D$1:AH$1,0))="atestado"), $B30, "")</f>
        <v>#N/A</v>
      </c>
      <c r="AL30" s="2" t="e">
        <f t="shared" ref="AL30" ca="1" si="11">IF(OR(INDEX(D30:AH30,MATCH(TODAY()-3,D$1:AH$1,0))="sim", INDEX(D30:AH30,MATCH(TODAY()-3,D$1:AH$1,0))="atestado"), $B30, "")</f>
        <v>#N/A</v>
      </c>
      <c r="AM30" s="2" t="e">
        <f t="shared" ref="AM30" ca="1" si="12">IF(OR(INDEX(D30:AH30,MATCH(TODAY()-4,D$1:AH$1,0))="sim", INDEX(D30:AH30,MATCH(TODAY()-4,D$1:AH$1,0))="atestado"), $B30, "")</f>
        <v>#N/A</v>
      </c>
      <c r="AN30" s="2"/>
      <c r="AO30" s="93" t="str">
        <f t="shared" ref="AO30" si="13">IF(C30=0, B30, "")</f>
        <v/>
      </c>
      <c r="AV30" s="100" t="str" cm="1">
        <f t="array" ref="AV30">IFERROR(INDEX($AO$2:$AO$101, SMALL(IF($AO$2:$AO$101&lt;&gt;"", ROW($AO$2:$AO$101)-1), ROW(A29))), "")</f>
        <v/>
      </c>
    </row>
    <row r="31" spans="1:48">
      <c r="A31" s="115"/>
      <c r="B31" s="116"/>
      <c r="C31" s="117"/>
      <c r="D31" s="116"/>
      <c r="E31" s="117"/>
      <c r="F31" s="116"/>
      <c r="G31" s="117"/>
      <c r="H31" s="116"/>
      <c r="I31" s="117"/>
      <c r="J31" s="116"/>
      <c r="K31" s="117"/>
      <c r="L31" s="116"/>
      <c r="M31" s="117"/>
      <c r="N31" s="116"/>
      <c r="O31" s="117"/>
      <c r="P31" s="116"/>
      <c r="Q31" s="117"/>
      <c r="R31" s="116"/>
      <c r="S31" s="117"/>
      <c r="T31" s="116"/>
      <c r="U31" s="117"/>
      <c r="V31" s="116"/>
      <c r="W31" s="117"/>
      <c r="X31" s="116"/>
      <c r="Y31" s="117"/>
      <c r="Z31" s="116"/>
      <c r="AA31" s="117"/>
      <c r="AB31" s="116"/>
      <c r="AC31" s="117"/>
      <c r="AD31" s="116"/>
      <c r="AE31" s="117"/>
      <c r="AF31" s="116"/>
      <c r="AG31" s="117"/>
      <c r="AH31" s="116"/>
      <c r="AI31" s="117"/>
      <c r="AJ31" s="117"/>
      <c r="AK31" s="117"/>
      <c r="AL31" s="117"/>
      <c r="AM31" s="117"/>
      <c r="AN31" s="117"/>
      <c r="AO31" s="117"/>
      <c r="AV31" s="100" t="str" cm="1">
        <f t="array" ref="AV31">IFERROR(INDEX($AO$2:$AO$101, SMALL(IF($AO$2:$AO$101&lt;&gt;"", ROW($AO$2:$AO$101)-1), ROW(A30))), "")</f>
        <v/>
      </c>
    </row>
    <row r="32" spans="1:48">
      <c r="A32" s="118"/>
      <c r="B32" s="119"/>
      <c r="C32" s="120"/>
      <c r="D32" s="119"/>
      <c r="E32" s="120"/>
      <c r="F32" s="119"/>
      <c r="G32" s="120"/>
      <c r="H32" s="119"/>
      <c r="I32" s="120"/>
      <c r="J32" s="119"/>
      <c r="K32" s="120"/>
      <c r="L32" s="119"/>
      <c r="M32" s="120"/>
      <c r="N32" s="119"/>
      <c r="O32" s="120"/>
      <c r="P32" s="119"/>
      <c r="Q32" s="120"/>
      <c r="R32" s="119"/>
      <c r="S32" s="120"/>
      <c r="T32" s="119"/>
      <c r="U32" s="120"/>
      <c r="V32" s="119"/>
      <c r="W32" s="120"/>
      <c r="X32" s="119"/>
      <c r="Y32" s="120"/>
      <c r="Z32" s="119"/>
      <c r="AA32" s="120"/>
      <c r="AB32" s="119"/>
      <c r="AC32" s="120"/>
      <c r="AD32" s="119"/>
      <c r="AE32" s="120"/>
      <c r="AF32" s="119"/>
      <c r="AG32" s="120"/>
      <c r="AH32" s="119"/>
      <c r="AI32" s="120"/>
      <c r="AJ32" s="120"/>
      <c r="AK32" s="120"/>
      <c r="AL32" s="120"/>
      <c r="AM32" s="120"/>
      <c r="AN32" s="120"/>
      <c r="AO32" s="120"/>
      <c r="AV32" s="100" t="str" cm="1">
        <f t="array" ref="AV32">IFERROR(INDEX($AO$2:$AO$101, SMALL(IF($AO$2:$AO$101&lt;&gt;"", ROW($AO$2:$AO$101)-1), ROW(A31))), "")</f>
        <v/>
      </c>
    </row>
    <row r="33" spans="1:48">
      <c r="A33" s="121">
        <v>9</v>
      </c>
      <c r="B33" s="147" t="s">
        <v>325</v>
      </c>
      <c r="C33" s="122">
        <f t="shared" ref="C33:C61" si="14">COUNTA(D33:AG33)</f>
        <v>5</v>
      </c>
      <c r="D33" s="123" t="s">
        <v>286</v>
      </c>
      <c r="E33" s="123"/>
      <c r="F33" s="123" t="s">
        <v>286</v>
      </c>
      <c r="G33" s="123" t="s">
        <v>286</v>
      </c>
      <c r="H33" s="123" t="s">
        <v>286</v>
      </c>
      <c r="I33" s="123" t="s">
        <v>286</v>
      </c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2" t="e">
        <f ca="1">IF(OR(INDEX(D33:AH33,MATCH(TODAY(),D$1:AH$1,0))="sim", INDEX(D33:AH33,MATCH(TODAY(),D$1:AH$1,0))="atestado"),#REF!, "")</f>
        <v>#N/A</v>
      </c>
      <c r="AJ33" s="2" t="e">
        <f ca="1">IF(OR(INDEX(D33:AH33,MATCH(TODAY()-1,D$1:AH$1,0))="sim", INDEX(D33:AH33,MATCH(TODAY()-1,D$1:AH$1,0))="atestado"),#REF!, "")</f>
        <v>#N/A</v>
      </c>
      <c r="AK33" s="2" t="e">
        <f ca="1">IF(OR(INDEX(D33:AH33,MATCH(TODAY()-2,D$1:AH$1,0))="sim", INDEX(D33:AH33,MATCH(TODAY()-2,D$1:AH$1,0))="atestado"),#REF!, "")</f>
        <v>#N/A</v>
      </c>
      <c r="AL33" s="2" t="e">
        <f ca="1">IF(OR(INDEX(D33:AH33,MATCH(TODAY()-3,D$1:AH$1,0))="sim", INDEX(D33:AH33,MATCH(TODAY()-3,D$1:AH$1,0))="atestado"),#REF!, "")</f>
        <v>#N/A</v>
      </c>
      <c r="AM33" s="2" t="e">
        <f ca="1">IF(OR(INDEX(D33:AH33,MATCH(TODAY()-4,D$1:AH$1,0))="sim", INDEX(D33:AH33,MATCH(TODAY()-4,D$1:AH$1,0))="atestado"),#REF!, "")</f>
        <v>#N/A</v>
      </c>
      <c r="AN33" s="2"/>
      <c r="AO33" s="124" t="str">
        <f t="shared" ref="AO33:AO52" si="15">IF(C33=0, B33, "")</f>
        <v/>
      </c>
      <c r="AV33" s="100" t="str" cm="1">
        <f t="array" ref="AV33">IFERROR(INDEX($AO$2:$AO$101, SMALL(IF($AO$2:$AO$101&lt;&gt;"", ROW($AO$2:$AO$101)-1), ROW(A32))), "")</f>
        <v/>
      </c>
    </row>
    <row r="34" spans="1:48" ht="14.25" customHeight="1">
      <c r="A34" s="121">
        <v>12</v>
      </c>
      <c r="B34" s="125" t="s">
        <v>326</v>
      </c>
      <c r="C34" s="92">
        <f t="shared" si="14"/>
        <v>5</v>
      </c>
      <c r="D34" s="123" t="s">
        <v>286</v>
      </c>
      <c r="E34" s="123" t="s">
        <v>286</v>
      </c>
      <c r="F34" s="123" t="s">
        <v>286</v>
      </c>
      <c r="G34" s="123" t="s">
        <v>286</v>
      </c>
      <c r="H34" s="123"/>
      <c r="I34" s="123"/>
      <c r="J34" s="123" t="s">
        <v>286</v>
      </c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2" t="e">
        <f t="shared" ref="AI34:AI49" ca="1" si="16">IF(OR(INDEX(D34:AH34,MATCH(TODAY(),D$1:AH$1,0))="sim", INDEX(D34:AH34,MATCH(TODAY(),D$1:AH$1,0))="atestado"), $B33, "")</f>
        <v>#N/A</v>
      </c>
      <c r="AJ34" s="2" t="e">
        <f t="shared" ref="AJ34:AJ49" ca="1" si="17">IF(OR(INDEX(D34:AH34,MATCH(TODAY()-1,D$1:AH$1,0))="sim", INDEX(D34:AH34,MATCH(TODAY()-1,D$1:AH$1,0))="atestado"), $B33, "")</f>
        <v>#N/A</v>
      </c>
      <c r="AK34" s="2" t="e">
        <f t="shared" ref="AK34:AK49" ca="1" si="18">IF(OR(INDEX(D34:AH34,MATCH(TODAY()-2,D$1:AH$1,0))="sim", INDEX(D34:AH34,MATCH(TODAY()-2,D$1:AH$1,0))="atestado"), $B33, "")</f>
        <v>#N/A</v>
      </c>
      <c r="AL34" s="2" t="e">
        <f t="shared" ref="AL34:AL49" ca="1" si="19">IF(OR(INDEX(D34:AH34,MATCH(TODAY()-3,D$1:AH$1,0))="sim", INDEX(D34:AH34,MATCH(TODAY()-3,D$1:AH$1,0))="atestado"), $B33, "")</f>
        <v>#N/A</v>
      </c>
      <c r="AM34" s="2" t="e">
        <f t="shared" ref="AM34:AM49" ca="1" si="20">IF(OR(INDEX(D34:AH34,MATCH(TODAY()-4,D$1:AH$1,0))="sim", INDEX(D34:AH34,MATCH(TODAY()-4,D$1:AH$1,0))="atestado"), $B33, "")</f>
        <v>#N/A</v>
      </c>
      <c r="AN34" s="2"/>
      <c r="AO34" s="124" t="str">
        <f t="shared" si="15"/>
        <v/>
      </c>
      <c r="AV34" s="100" t="str" cm="1">
        <f t="array" ref="AV34">IFERROR(INDEX($AO$2:$AO$101, SMALL(IF($AO$2:$AO$101&lt;&gt;"", ROW($AO$2:$AO$101)-1), ROW(A33))), "")</f>
        <v/>
      </c>
    </row>
    <row r="35" spans="1:48">
      <c r="A35" s="121">
        <v>105</v>
      </c>
      <c r="B35" s="125" t="s">
        <v>327</v>
      </c>
      <c r="C35" s="92">
        <f t="shared" si="14"/>
        <v>5</v>
      </c>
      <c r="D35" s="123" t="s">
        <v>286</v>
      </c>
      <c r="E35" s="123"/>
      <c r="F35" s="123" t="s">
        <v>286</v>
      </c>
      <c r="G35" s="123" t="s">
        <v>286</v>
      </c>
      <c r="H35" s="146"/>
      <c r="I35" s="123" t="s">
        <v>286</v>
      </c>
      <c r="J35" s="123" t="s">
        <v>286</v>
      </c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2" t="e">
        <f t="shared" ca="1" si="16"/>
        <v>#N/A</v>
      </c>
      <c r="AJ35" s="2" t="e">
        <f t="shared" ca="1" si="17"/>
        <v>#N/A</v>
      </c>
      <c r="AK35" s="2" t="e">
        <f t="shared" ca="1" si="18"/>
        <v>#N/A</v>
      </c>
      <c r="AL35" s="2" t="e">
        <f t="shared" ca="1" si="19"/>
        <v>#N/A</v>
      </c>
      <c r="AM35" s="2" t="e">
        <f t="shared" ca="1" si="20"/>
        <v>#N/A</v>
      </c>
      <c r="AN35" s="2"/>
      <c r="AO35" s="124" t="str">
        <f t="shared" si="15"/>
        <v/>
      </c>
      <c r="AV35" s="100" t="str" cm="1">
        <f t="array" ref="AV35">IFERROR(INDEX($AO$2:$AO$101, SMALL(IF($AO$2:$AO$101&lt;&gt;"", ROW($AO$2:$AO$101)-1), ROW(A34))), "")</f>
        <v/>
      </c>
    </row>
    <row r="36" spans="1:48">
      <c r="A36" s="121">
        <v>114</v>
      </c>
      <c r="B36" s="125" t="s">
        <v>328</v>
      </c>
      <c r="C36" s="92">
        <f t="shared" si="14"/>
        <v>1</v>
      </c>
      <c r="D36" s="123"/>
      <c r="E36" s="123"/>
      <c r="F36" s="123"/>
      <c r="G36" s="146"/>
      <c r="H36" s="146"/>
      <c r="I36" s="146"/>
      <c r="J36" s="123" t="s">
        <v>286</v>
      </c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2" t="e">
        <f t="shared" ca="1" si="16"/>
        <v>#N/A</v>
      </c>
      <c r="AJ36" s="2" t="e">
        <f t="shared" ca="1" si="17"/>
        <v>#N/A</v>
      </c>
      <c r="AK36" s="2" t="e">
        <f t="shared" ca="1" si="18"/>
        <v>#N/A</v>
      </c>
      <c r="AL36" s="2" t="e">
        <f t="shared" ca="1" si="19"/>
        <v>#N/A</v>
      </c>
      <c r="AM36" s="2" t="e">
        <f t="shared" ca="1" si="20"/>
        <v>#N/A</v>
      </c>
      <c r="AN36" s="2"/>
      <c r="AO36" s="124" t="str">
        <f t="shared" si="15"/>
        <v/>
      </c>
      <c r="AV36" s="100" t="str" cm="1">
        <f t="array" ref="AV36">IFERROR(INDEX($AO$2:$AO$101, SMALL(IF($AO$2:$AO$101&lt;&gt;"", ROW($AO$2:$AO$101)-1), ROW(A35))), "")</f>
        <v/>
      </c>
    </row>
    <row r="37" spans="1:48">
      <c r="A37" s="126">
        <v>120</v>
      </c>
      <c r="B37" s="125" t="s">
        <v>329</v>
      </c>
      <c r="C37" s="92">
        <f t="shared" si="14"/>
        <v>5</v>
      </c>
      <c r="D37" s="123"/>
      <c r="E37" s="123" t="s">
        <v>286</v>
      </c>
      <c r="F37" s="123" t="s">
        <v>286</v>
      </c>
      <c r="G37" s="123"/>
      <c r="H37" s="123" t="s">
        <v>286</v>
      </c>
      <c r="I37" s="123" t="s">
        <v>286</v>
      </c>
      <c r="J37" s="123" t="s">
        <v>286</v>
      </c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2" t="e">
        <f t="shared" ca="1" si="16"/>
        <v>#N/A</v>
      </c>
      <c r="AJ37" s="2" t="e">
        <f t="shared" ca="1" si="17"/>
        <v>#N/A</v>
      </c>
      <c r="AK37" s="2" t="e">
        <f t="shared" ca="1" si="18"/>
        <v>#N/A</v>
      </c>
      <c r="AL37" s="2" t="e">
        <f t="shared" ca="1" si="19"/>
        <v>#N/A</v>
      </c>
      <c r="AM37" s="2" t="e">
        <f t="shared" ca="1" si="20"/>
        <v>#N/A</v>
      </c>
      <c r="AN37" s="2"/>
      <c r="AO37" s="124" t="str">
        <f t="shared" si="15"/>
        <v/>
      </c>
      <c r="AV37" s="100" t="str" cm="1">
        <f t="array" ref="AV37">IFERROR(INDEX($AO$2:$AO$101, SMALL(IF($AO$2:$AO$101&lt;&gt;"", ROW($AO$2:$AO$101)-1), ROW(A36))), "")</f>
        <v/>
      </c>
    </row>
    <row r="38" spans="1:48" ht="14.25" customHeight="1">
      <c r="A38" s="121">
        <v>127</v>
      </c>
      <c r="B38" s="125" t="s">
        <v>330</v>
      </c>
      <c r="C38" s="92">
        <f t="shared" si="14"/>
        <v>3</v>
      </c>
      <c r="D38" s="123"/>
      <c r="E38" s="123" t="s">
        <v>286</v>
      </c>
      <c r="F38" s="123"/>
      <c r="G38" s="146"/>
      <c r="H38" s="123" t="s">
        <v>286</v>
      </c>
      <c r="I38" s="123"/>
      <c r="J38" s="123" t="s">
        <v>286</v>
      </c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2" t="e">
        <f t="shared" ca="1" si="16"/>
        <v>#N/A</v>
      </c>
      <c r="AJ38" s="2" t="e">
        <f t="shared" ca="1" si="17"/>
        <v>#N/A</v>
      </c>
      <c r="AK38" s="2" t="e">
        <f t="shared" ca="1" si="18"/>
        <v>#N/A</v>
      </c>
      <c r="AL38" s="2" t="e">
        <f t="shared" ca="1" si="19"/>
        <v>#N/A</v>
      </c>
      <c r="AM38" s="2" t="e">
        <f t="shared" ca="1" si="20"/>
        <v>#N/A</v>
      </c>
      <c r="AN38" s="2"/>
      <c r="AO38" s="124" t="str">
        <f t="shared" si="15"/>
        <v/>
      </c>
      <c r="AV38" s="100" t="str" cm="1">
        <f t="array" ref="AV38">IFERROR(INDEX($AO$2:$AO$101, SMALL(IF($AO$2:$AO$101&lt;&gt;"", ROW($AO$2:$AO$101)-1), ROW(A37))), "")</f>
        <v/>
      </c>
    </row>
    <row r="39" spans="1:48">
      <c r="A39" s="127">
        <v>134</v>
      </c>
      <c r="B39" s="125" t="s">
        <v>331</v>
      </c>
      <c r="C39" s="92">
        <f t="shared" si="14"/>
        <v>2</v>
      </c>
      <c r="D39" s="123"/>
      <c r="E39" s="123"/>
      <c r="F39" s="123"/>
      <c r="G39" s="123" t="s">
        <v>286</v>
      </c>
      <c r="H39" s="123"/>
      <c r="I39" s="123" t="s">
        <v>286</v>
      </c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2" t="e">
        <f t="shared" ca="1" si="16"/>
        <v>#N/A</v>
      </c>
      <c r="AJ39" s="2" t="e">
        <f t="shared" ca="1" si="17"/>
        <v>#N/A</v>
      </c>
      <c r="AK39" s="2" t="e">
        <f t="shared" ca="1" si="18"/>
        <v>#N/A</v>
      </c>
      <c r="AL39" s="2" t="e">
        <f t="shared" ca="1" si="19"/>
        <v>#N/A</v>
      </c>
      <c r="AM39" s="2" t="e">
        <f t="shared" ca="1" si="20"/>
        <v>#N/A</v>
      </c>
      <c r="AN39" s="2"/>
      <c r="AO39" s="124" t="str">
        <f t="shared" si="15"/>
        <v/>
      </c>
      <c r="AV39" s="100" t="str" cm="1">
        <f t="array" ref="AV39">IFERROR(INDEX($AO$2:$AO$101, SMALL(IF($AO$2:$AO$101&lt;&gt;"", ROW($AO$2:$AO$101)-1), ROW(A38))), "")</f>
        <v/>
      </c>
    </row>
    <row r="40" spans="1:48">
      <c r="A40" s="121">
        <v>136</v>
      </c>
      <c r="B40" s="125" t="s">
        <v>332</v>
      </c>
      <c r="C40" s="92">
        <f t="shared" si="14"/>
        <v>2</v>
      </c>
      <c r="D40" s="123"/>
      <c r="E40" s="123" t="s">
        <v>286</v>
      </c>
      <c r="F40" s="146"/>
      <c r="G40" s="146"/>
      <c r="H40" s="146"/>
      <c r="I40" s="123" t="s">
        <v>286</v>
      </c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2" t="e">
        <f t="shared" ca="1" si="16"/>
        <v>#N/A</v>
      </c>
      <c r="AJ40" s="2" t="e">
        <f t="shared" ca="1" si="17"/>
        <v>#N/A</v>
      </c>
      <c r="AK40" s="2" t="e">
        <f t="shared" ca="1" si="18"/>
        <v>#N/A</v>
      </c>
      <c r="AL40" s="2" t="e">
        <f t="shared" ca="1" si="19"/>
        <v>#N/A</v>
      </c>
      <c r="AM40" s="2" t="e">
        <f t="shared" ca="1" si="20"/>
        <v>#N/A</v>
      </c>
      <c r="AN40" s="2"/>
      <c r="AO40" s="124" t="str">
        <f t="shared" si="15"/>
        <v/>
      </c>
      <c r="AV40" s="100" t="str" cm="1">
        <f t="array" ref="AV40">IFERROR(INDEX($AO$2:$AO$101, SMALL(IF($AO$2:$AO$101&lt;&gt;"", ROW($AO$2:$AO$101)-1), ROW(A39))), "")</f>
        <v/>
      </c>
    </row>
    <row r="41" spans="1:48">
      <c r="A41" s="127">
        <v>137</v>
      </c>
      <c r="B41" s="125" t="s">
        <v>333</v>
      </c>
      <c r="C41" s="92">
        <f t="shared" si="14"/>
        <v>3</v>
      </c>
      <c r="D41" s="123"/>
      <c r="E41" s="123" t="s">
        <v>286</v>
      </c>
      <c r="F41" s="123"/>
      <c r="G41" s="123" t="s">
        <v>286</v>
      </c>
      <c r="H41" s="123"/>
      <c r="I41" s="123"/>
      <c r="J41" s="123" t="s">
        <v>286</v>
      </c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2" t="e">
        <f t="shared" ca="1" si="16"/>
        <v>#N/A</v>
      </c>
      <c r="AJ41" s="2" t="e">
        <f t="shared" ca="1" si="17"/>
        <v>#N/A</v>
      </c>
      <c r="AK41" s="2" t="e">
        <f t="shared" ca="1" si="18"/>
        <v>#N/A</v>
      </c>
      <c r="AL41" s="2" t="e">
        <f t="shared" ca="1" si="19"/>
        <v>#N/A</v>
      </c>
      <c r="AM41" s="2" t="e">
        <f t="shared" ca="1" si="20"/>
        <v>#N/A</v>
      </c>
      <c r="AN41" s="2"/>
      <c r="AO41" s="124" t="str">
        <f t="shared" si="15"/>
        <v/>
      </c>
      <c r="AV41" s="100" t="str" cm="1">
        <f t="array" ref="AV41">IFERROR(INDEX($AO$2:$AO$101, SMALL(IF($AO$2:$AO$101&lt;&gt;"", ROW($AO$2:$AO$101)-1), ROW(A40))), "")</f>
        <v/>
      </c>
    </row>
    <row r="42" spans="1:48" ht="14.25" customHeight="1">
      <c r="A42" s="121">
        <v>143</v>
      </c>
      <c r="B42" s="125" t="s">
        <v>334</v>
      </c>
      <c r="C42" s="92">
        <f t="shared" si="14"/>
        <v>5</v>
      </c>
      <c r="D42" s="123"/>
      <c r="E42" s="123" t="s">
        <v>286</v>
      </c>
      <c r="F42" s="123" t="s">
        <v>286</v>
      </c>
      <c r="G42" s="123" t="s">
        <v>286</v>
      </c>
      <c r="H42" s="123"/>
      <c r="I42" s="123" t="s">
        <v>286</v>
      </c>
      <c r="J42" s="123" t="s">
        <v>286</v>
      </c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2" t="e">
        <f t="shared" ca="1" si="16"/>
        <v>#N/A</v>
      </c>
      <c r="AJ42" s="2" t="e">
        <f t="shared" ca="1" si="17"/>
        <v>#N/A</v>
      </c>
      <c r="AK42" s="2" t="e">
        <f t="shared" ca="1" si="18"/>
        <v>#N/A</v>
      </c>
      <c r="AL42" s="2" t="e">
        <f t="shared" ca="1" si="19"/>
        <v>#N/A</v>
      </c>
      <c r="AM42" s="2" t="e">
        <f t="shared" ca="1" si="20"/>
        <v>#N/A</v>
      </c>
      <c r="AN42" s="2"/>
      <c r="AO42" s="124" t="str">
        <f t="shared" si="15"/>
        <v/>
      </c>
      <c r="AV42" s="100" t="str" cm="1">
        <f t="array" ref="AV42">IFERROR(INDEX($AO$2:$AO$101, SMALL(IF($AO$2:$AO$101&lt;&gt;"", ROW($AO$2:$AO$101)-1), ROW(A41))), "")</f>
        <v/>
      </c>
    </row>
    <row r="43" spans="1:48" ht="14.25" customHeight="1">
      <c r="A43" s="127">
        <v>146</v>
      </c>
      <c r="B43" s="125" t="s">
        <v>335</v>
      </c>
      <c r="C43" s="92">
        <f t="shared" si="14"/>
        <v>5</v>
      </c>
      <c r="D43" s="123" t="s">
        <v>286</v>
      </c>
      <c r="E43" s="123" t="s">
        <v>286</v>
      </c>
      <c r="F43" s="123" t="s">
        <v>286</v>
      </c>
      <c r="G43" s="123"/>
      <c r="H43" s="123" t="s">
        <v>286</v>
      </c>
      <c r="I43" s="123"/>
      <c r="J43" s="123" t="s">
        <v>286</v>
      </c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2" t="e">
        <f t="shared" ca="1" si="16"/>
        <v>#N/A</v>
      </c>
      <c r="AJ43" s="2" t="e">
        <f t="shared" ca="1" si="17"/>
        <v>#N/A</v>
      </c>
      <c r="AK43" s="2" t="e">
        <f t="shared" ca="1" si="18"/>
        <v>#N/A</v>
      </c>
      <c r="AL43" s="2" t="e">
        <f t="shared" ca="1" si="19"/>
        <v>#N/A</v>
      </c>
      <c r="AM43" s="2" t="e">
        <f t="shared" ca="1" si="20"/>
        <v>#N/A</v>
      </c>
      <c r="AN43" s="2"/>
      <c r="AO43" s="124" t="str">
        <f t="shared" si="15"/>
        <v/>
      </c>
      <c r="AV43" s="100" t="str" cm="1">
        <f t="array" ref="AV43">IFERROR(INDEX($AO$2:$AO$101, SMALL(IF($AO$2:$AO$101&lt;&gt;"", ROW($AO$2:$AO$101)-1), ROW(A42))), "")</f>
        <v/>
      </c>
    </row>
    <row r="44" spans="1:48" ht="14.25" customHeight="1">
      <c r="A44" s="121">
        <v>147</v>
      </c>
      <c r="B44" s="128" t="s">
        <v>336</v>
      </c>
      <c r="C44" s="92">
        <f t="shared" si="14"/>
        <v>2</v>
      </c>
      <c r="D44" s="123" t="s">
        <v>286</v>
      </c>
      <c r="E44" s="123"/>
      <c r="F44" s="123"/>
      <c r="G44" s="123"/>
      <c r="H44" s="123"/>
      <c r="I44" s="123" t="s">
        <v>286</v>
      </c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2" t="e">
        <f t="shared" ca="1" si="16"/>
        <v>#N/A</v>
      </c>
      <c r="AJ44" s="2" t="e">
        <f t="shared" ca="1" si="17"/>
        <v>#N/A</v>
      </c>
      <c r="AK44" s="2" t="e">
        <f t="shared" ca="1" si="18"/>
        <v>#N/A</v>
      </c>
      <c r="AL44" s="2" t="e">
        <f t="shared" ca="1" si="19"/>
        <v>#N/A</v>
      </c>
      <c r="AM44" s="2" t="e">
        <f t="shared" ca="1" si="20"/>
        <v>#N/A</v>
      </c>
      <c r="AN44" s="2"/>
      <c r="AO44" s="124" t="str">
        <f t="shared" si="15"/>
        <v/>
      </c>
      <c r="AV44" s="100" t="str" cm="1">
        <f t="array" ref="AV44">IFERROR(INDEX($AO$2:$AO$101, SMALL(IF($AO$2:$AO$101&lt;&gt;"", ROW($AO$2:$AO$101)-1), ROW(A43))), "")</f>
        <v/>
      </c>
    </row>
    <row r="45" spans="1:48">
      <c r="A45" s="151">
        <v>148</v>
      </c>
      <c r="B45" s="129" t="s">
        <v>337</v>
      </c>
      <c r="C45" s="92">
        <f t="shared" si="14"/>
        <v>4</v>
      </c>
      <c r="D45" s="123" t="s">
        <v>286</v>
      </c>
      <c r="E45" s="123"/>
      <c r="F45" s="123" t="s">
        <v>286</v>
      </c>
      <c r="G45" s="123"/>
      <c r="H45" s="123"/>
      <c r="I45" s="123" t="s">
        <v>286</v>
      </c>
      <c r="J45" s="123" t="s">
        <v>286</v>
      </c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2" t="e">
        <f t="shared" ca="1" si="16"/>
        <v>#N/A</v>
      </c>
      <c r="AJ45" s="2" t="e">
        <f t="shared" ca="1" si="17"/>
        <v>#N/A</v>
      </c>
      <c r="AK45" s="2" t="e">
        <f t="shared" ca="1" si="18"/>
        <v>#N/A</v>
      </c>
      <c r="AL45" s="2" t="e">
        <f t="shared" ca="1" si="19"/>
        <v>#N/A</v>
      </c>
      <c r="AM45" s="2" t="e">
        <f t="shared" ca="1" si="20"/>
        <v>#N/A</v>
      </c>
      <c r="AN45" s="2"/>
      <c r="AO45" s="124" t="str">
        <f t="shared" si="15"/>
        <v/>
      </c>
      <c r="AV45" s="100" t="str" cm="1">
        <f t="array" ref="AV45">IFERROR(INDEX($AO$2:$AO$101, SMALL(IF($AO$2:$AO$101&lt;&gt;"", ROW($AO$2:$AO$101)-1), ROW(A44))), "")</f>
        <v/>
      </c>
    </row>
    <row r="46" spans="1:48">
      <c r="A46" s="130">
        <v>149</v>
      </c>
      <c r="B46" s="131" t="s">
        <v>338</v>
      </c>
      <c r="C46" s="92">
        <f t="shared" si="14"/>
        <v>3</v>
      </c>
      <c r="D46" s="123" t="s">
        <v>286</v>
      </c>
      <c r="E46" s="123" t="s">
        <v>286</v>
      </c>
      <c r="F46" s="123" t="s">
        <v>286</v>
      </c>
      <c r="G46" s="123"/>
      <c r="H46" s="146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2" t="e">
        <f t="shared" ca="1" si="16"/>
        <v>#N/A</v>
      </c>
      <c r="AJ46" s="2" t="e">
        <f t="shared" ca="1" si="17"/>
        <v>#N/A</v>
      </c>
      <c r="AK46" s="2" t="e">
        <f t="shared" ca="1" si="18"/>
        <v>#N/A</v>
      </c>
      <c r="AL46" s="2" t="e">
        <f t="shared" ca="1" si="19"/>
        <v>#N/A</v>
      </c>
      <c r="AM46" s="2" t="e">
        <f t="shared" ca="1" si="20"/>
        <v>#N/A</v>
      </c>
      <c r="AN46" s="2"/>
      <c r="AO46" s="124" t="str">
        <f t="shared" si="15"/>
        <v/>
      </c>
      <c r="AV46" s="100" t="str" cm="1">
        <f t="array" ref="AV46">IFERROR(INDEX($AO$2:$AO$101, SMALL(IF($AO$2:$AO$101&lt;&gt;"", ROW($AO$2:$AO$101)-1), ROW(A45))), "")</f>
        <v/>
      </c>
    </row>
    <row r="47" spans="1:48">
      <c r="A47" s="121">
        <v>152</v>
      </c>
      <c r="B47" s="125" t="s">
        <v>339</v>
      </c>
      <c r="C47" s="92">
        <f t="shared" si="14"/>
        <v>5</v>
      </c>
      <c r="D47" s="123" t="s">
        <v>286</v>
      </c>
      <c r="E47" s="123" t="s">
        <v>286</v>
      </c>
      <c r="F47" s="123" t="s">
        <v>286</v>
      </c>
      <c r="G47" s="123" t="s">
        <v>286</v>
      </c>
      <c r="H47" s="123"/>
      <c r="I47" s="123" t="s">
        <v>286</v>
      </c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2" t="e">
        <f t="shared" ca="1" si="16"/>
        <v>#N/A</v>
      </c>
      <c r="AJ47" s="2" t="e">
        <f t="shared" ca="1" si="17"/>
        <v>#N/A</v>
      </c>
      <c r="AK47" s="2" t="e">
        <f t="shared" ca="1" si="18"/>
        <v>#N/A</v>
      </c>
      <c r="AL47" s="2" t="e">
        <f t="shared" ca="1" si="19"/>
        <v>#N/A</v>
      </c>
      <c r="AM47" s="2" t="e">
        <f t="shared" ca="1" si="20"/>
        <v>#N/A</v>
      </c>
      <c r="AN47" s="2"/>
      <c r="AO47" s="124" t="str">
        <f t="shared" si="15"/>
        <v/>
      </c>
      <c r="AV47" s="100" t="str" cm="1">
        <f t="array" ref="AV47">IFERROR(INDEX($AO$2:$AO$101, SMALL(IF($AO$2:$AO$101&lt;&gt;"", ROW($AO$2:$AO$101)-1), ROW(A46))), "")</f>
        <v/>
      </c>
    </row>
    <row r="48" spans="1:48">
      <c r="A48" s="126">
        <v>153</v>
      </c>
      <c r="B48" s="132" t="s">
        <v>340</v>
      </c>
      <c r="C48" s="92">
        <f t="shared" si="14"/>
        <v>7</v>
      </c>
      <c r="D48" s="123" t="s">
        <v>286</v>
      </c>
      <c r="E48" s="123" t="s">
        <v>286</v>
      </c>
      <c r="F48" s="123" t="s">
        <v>286</v>
      </c>
      <c r="G48" s="123" t="s">
        <v>286</v>
      </c>
      <c r="H48" s="123" t="s">
        <v>286</v>
      </c>
      <c r="I48" s="123" t="s">
        <v>286</v>
      </c>
      <c r="J48" s="123" t="s">
        <v>286</v>
      </c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2" t="e">
        <f t="shared" ca="1" si="16"/>
        <v>#N/A</v>
      </c>
      <c r="AJ48" s="2" t="e">
        <f t="shared" ca="1" si="17"/>
        <v>#N/A</v>
      </c>
      <c r="AK48" s="2" t="e">
        <f t="shared" ca="1" si="18"/>
        <v>#N/A</v>
      </c>
      <c r="AL48" s="2" t="e">
        <f t="shared" ca="1" si="19"/>
        <v>#N/A</v>
      </c>
      <c r="AM48" s="2" t="e">
        <f t="shared" ca="1" si="20"/>
        <v>#N/A</v>
      </c>
      <c r="AN48" s="2"/>
      <c r="AO48" s="124" t="str">
        <f t="shared" si="15"/>
        <v/>
      </c>
      <c r="AV48" s="100" t="str" cm="1">
        <f t="array" ref="AV48">IFERROR(INDEX($AO$2:$AO$101, SMALL(IF($AO$2:$AO$101&lt;&gt;"", ROW($AO$2:$AO$101)-1), ROW(A47))), "")</f>
        <v/>
      </c>
    </row>
    <row r="49" spans="1:48">
      <c r="A49" s="130">
        <v>154</v>
      </c>
      <c r="B49" s="133" t="s">
        <v>341</v>
      </c>
      <c r="C49" s="92">
        <f t="shared" si="14"/>
        <v>4</v>
      </c>
      <c r="D49" s="123"/>
      <c r="E49" s="123" t="s">
        <v>286</v>
      </c>
      <c r="F49" s="123" t="s">
        <v>286</v>
      </c>
      <c r="G49" s="146"/>
      <c r="H49" s="146"/>
      <c r="I49" s="123" t="s">
        <v>286</v>
      </c>
      <c r="J49" s="123" t="s">
        <v>286</v>
      </c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2" t="e">
        <f t="shared" ca="1" si="16"/>
        <v>#N/A</v>
      </c>
      <c r="AJ49" s="2" t="e">
        <f t="shared" ca="1" si="17"/>
        <v>#N/A</v>
      </c>
      <c r="AK49" s="2" t="e">
        <f t="shared" ca="1" si="18"/>
        <v>#N/A</v>
      </c>
      <c r="AL49" s="2" t="e">
        <f t="shared" ca="1" si="19"/>
        <v>#N/A</v>
      </c>
      <c r="AM49" s="2" t="e">
        <f t="shared" ca="1" si="20"/>
        <v>#N/A</v>
      </c>
      <c r="AN49" s="2"/>
      <c r="AO49" s="124" t="str">
        <f t="shared" si="15"/>
        <v/>
      </c>
      <c r="AV49" s="100" t="str" cm="1">
        <f t="array" ref="AV49">IFERROR(INDEX($AO$2:$AO$101, SMALL(IF($AO$2:$AO$101&lt;&gt;"", ROW($AO$2:$AO$101)-1), ROW(A48))), "")</f>
        <v/>
      </c>
    </row>
    <row r="50" spans="1:48">
      <c r="A50" s="121">
        <v>155</v>
      </c>
      <c r="B50" s="128" t="s">
        <v>342</v>
      </c>
      <c r="C50" s="92">
        <f t="shared" si="14"/>
        <v>5</v>
      </c>
      <c r="D50" s="123" t="s">
        <v>286</v>
      </c>
      <c r="E50" s="123"/>
      <c r="F50" s="123" t="s">
        <v>286</v>
      </c>
      <c r="G50" s="123" t="s">
        <v>286</v>
      </c>
      <c r="H50" s="123"/>
      <c r="I50" s="123" t="s">
        <v>286</v>
      </c>
      <c r="J50" s="123" t="s">
        <v>286</v>
      </c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2" t="e">
        <f t="shared" ref="AI50:AI58" ca="1" si="21">IF(OR(INDEX(D50:AH50,MATCH(TODAY(),D$1:AH$1,0))="sim", INDEX(D50:AH50,MATCH(TODAY(),D$1:AH$1,0))="atestado"), $B50, "")</f>
        <v>#N/A</v>
      </c>
      <c r="AJ50" s="2" t="e">
        <f t="shared" ref="AJ50:AJ58" ca="1" si="22">IF(OR(INDEX(D50:AH50,MATCH(TODAY()-1,D$1:AH$1,0))="sim", INDEX(D50:AH50,MATCH(TODAY()-1,D$1:AH$1,0))="atestado"), $B50, "")</f>
        <v>#N/A</v>
      </c>
      <c r="AK50" s="2" t="e">
        <f t="shared" ref="AK50:AK58" ca="1" si="23">IF(OR(INDEX(D50:AH50,MATCH(TODAY()-2,D$1:AH$1,0))="sim", INDEX(D50:AH50,MATCH(TODAY()-2,D$1:AH$1,0))="atestado"), $B50, "")</f>
        <v>#N/A</v>
      </c>
      <c r="AL50" s="2" t="e">
        <f t="shared" ref="AL50:AL58" ca="1" si="24">IF(OR(INDEX(D50:AH50,MATCH(TODAY()-3,D$1:AH$1,0))="sim", INDEX(D50:AH50,MATCH(TODAY()-3,D$1:AH$1,0))="atestado"), $B50, "")</f>
        <v>#N/A</v>
      </c>
      <c r="AM50" s="2" t="e">
        <f t="shared" ref="AM50:AM58" ca="1" si="25">IF(OR(INDEX(D50:AH50,MATCH(TODAY()-4,D$1:AH$1,0))="sim", INDEX(D50:AH50,MATCH(TODAY()-4,D$1:AH$1,0))="atestado"), $B50, "")</f>
        <v>#N/A</v>
      </c>
      <c r="AN50" s="2"/>
      <c r="AO50" s="124" t="str">
        <f t="shared" si="15"/>
        <v/>
      </c>
      <c r="AV50" s="100" t="str" cm="1">
        <f t="array" ref="AV50">IFERROR(INDEX($AO$2:$AO$101, SMALL(IF($AO$2:$AO$101&lt;&gt;"", ROW($AO$2:$AO$101)-1), ROW(A49))), "")</f>
        <v/>
      </c>
    </row>
    <row r="51" spans="1:48">
      <c r="A51" s="121">
        <v>156</v>
      </c>
      <c r="B51" s="125" t="s">
        <v>343</v>
      </c>
      <c r="C51" s="92">
        <f t="shared" si="14"/>
        <v>4</v>
      </c>
      <c r="D51" s="123"/>
      <c r="E51" s="123"/>
      <c r="F51" s="123" t="s">
        <v>286</v>
      </c>
      <c r="G51" s="123" t="s">
        <v>286</v>
      </c>
      <c r="H51" s="123" t="s">
        <v>286</v>
      </c>
      <c r="I51" s="123" t="s">
        <v>286</v>
      </c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2" t="e">
        <f t="shared" ca="1" si="21"/>
        <v>#N/A</v>
      </c>
      <c r="AJ51" s="2" t="e">
        <f t="shared" ca="1" si="22"/>
        <v>#N/A</v>
      </c>
      <c r="AK51" s="2" t="e">
        <f t="shared" ca="1" si="23"/>
        <v>#N/A</v>
      </c>
      <c r="AL51" s="2" t="e">
        <f t="shared" ca="1" si="24"/>
        <v>#N/A</v>
      </c>
      <c r="AM51" s="2" t="e">
        <f t="shared" ca="1" si="25"/>
        <v>#N/A</v>
      </c>
      <c r="AN51" s="2"/>
      <c r="AO51" s="124" t="str">
        <f t="shared" si="15"/>
        <v/>
      </c>
      <c r="AV51" s="100" t="str" cm="1">
        <f t="array" ref="AV51">IFERROR(INDEX($AO$2:$AO$101, SMALL(IF($AO$2:$AO$101&lt;&gt;"", ROW($AO$2:$AO$101)-1), ROW(A50))), "")</f>
        <v/>
      </c>
    </row>
    <row r="52" spans="1:48" hidden="1">
      <c r="A52" s="127">
        <v>160</v>
      </c>
      <c r="B52" s="125" t="s">
        <v>344</v>
      </c>
      <c r="C52" s="92">
        <f t="shared" si="14"/>
        <v>1</v>
      </c>
      <c r="D52" s="123"/>
      <c r="E52" s="123" t="s">
        <v>286</v>
      </c>
      <c r="F52" s="146"/>
      <c r="G52" s="146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2" t="e">
        <f t="shared" ca="1" si="21"/>
        <v>#N/A</v>
      </c>
      <c r="AJ52" s="2" t="e">
        <f t="shared" ca="1" si="22"/>
        <v>#N/A</v>
      </c>
      <c r="AK52" s="2" t="e">
        <f t="shared" ca="1" si="23"/>
        <v>#N/A</v>
      </c>
      <c r="AL52" s="2" t="e">
        <f t="shared" ca="1" si="24"/>
        <v>#N/A</v>
      </c>
      <c r="AM52" s="2" t="e">
        <f t="shared" ca="1" si="25"/>
        <v>#N/A</v>
      </c>
      <c r="AN52" s="2"/>
      <c r="AO52" s="124" t="str">
        <f t="shared" si="15"/>
        <v/>
      </c>
      <c r="AV52" s="100" t="str" cm="1">
        <f t="array" ref="AV52">IFERROR(INDEX($AO$2:$AO$101, SMALL(IF($AO$2:$AO$101&lt;&gt;"", ROW($AO$2:$AO$101)-1), ROW(A51))), "")</f>
        <v/>
      </c>
    </row>
    <row r="53" spans="1:48">
      <c r="A53" s="134">
        <v>157</v>
      </c>
      <c r="B53" s="91" t="s">
        <v>345</v>
      </c>
      <c r="C53" s="92">
        <f t="shared" si="14"/>
        <v>2</v>
      </c>
      <c r="D53" s="123"/>
      <c r="E53" s="123"/>
      <c r="F53" s="123"/>
      <c r="G53" s="123"/>
      <c r="H53" s="123"/>
      <c r="I53" s="123" t="s">
        <v>286</v>
      </c>
      <c r="J53" s="123" t="s">
        <v>286</v>
      </c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2" t="e">
        <f t="shared" ca="1" si="21"/>
        <v>#N/A</v>
      </c>
      <c r="AJ53" s="2" t="e">
        <f t="shared" ca="1" si="22"/>
        <v>#N/A</v>
      </c>
      <c r="AK53" s="2" t="e">
        <f t="shared" ca="1" si="23"/>
        <v>#N/A</v>
      </c>
      <c r="AL53" s="2" t="e">
        <f t="shared" ca="1" si="24"/>
        <v>#N/A</v>
      </c>
      <c r="AM53" s="2" t="e">
        <f t="shared" ca="1" si="25"/>
        <v>#N/A</v>
      </c>
      <c r="AN53" s="2"/>
      <c r="AO53" s="124"/>
      <c r="AV53" s="2"/>
    </row>
    <row r="54" spans="1:48">
      <c r="A54" s="90">
        <v>161</v>
      </c>
      <c r="B54" s="91" t="s">
        <v>346</v>
      </c>
      <c r="C54" s="92">
        <f t="shared" si="14"/>
        <v>4</v>
      </c>
      <c r="D54" s="123" t="s">
        <v>286</v>
      </c>
      <c r="E54" s="123"/>
      <c r="F54" s="123" t="s">
        <v>286</v>
      </c>
      <c r="G54" s="123" t="s">
        <v>286</v>
      </c>
      <c r="H54" s="123"/>
      <c r="I54" s="123" t="s">
        <v>286</v>
      </c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2" t="e">
        <f t="shared" ca="1" si="21"/>
        <v>#N/A</v>
      </c>
      <c r="AJ54" s="2" t="e">
        <f t="shared" ca="1" si="22"/>
        <v>#N/A</v>
      </c>
      <c r="AK54" s="2" t="e">
        <f t="shared" ca="1" si="23"/>
        <v>#N/A</v>
      </c>
      <c r="AL54" s="2" t="e">
        <f t="shared" ca="1" si="24"/>
        <v>#N/A</v>
      </c>
      <c r="AM54" s="2" t="e">
        <f t="shared" ca="1" si="25"/>
        <v>#N/A</v>
      </c>
      <c r="AN54" s="2"/>
      <c r="AO54" s="124" t="str">
        <f>IF(C54=0, B54, "")</f>
        <v/>
      </c>
      <c r="AV54" s="100" t="str" cm="1">
        <f t="array" ref="AV54">IFERROR(INDEX($AO$2:$AO$101, SMALL(IF($AO$2:$AO$101&lt;&gt;"", ROW($AO$2:$AO$101)-1), ROW(A53))), "")</f>
        <v/>
      </c>
    </row>
    <row r="55" spans="1:48" ht="14.25" customHeight="1">
      <c r="A55" s="113">
        <v>162</v>
      </c>
      <c r="B55" s="114" t="s">
        <v>347</v>
      </c>
      <c r="C55" s="112">
        <f t="shared" si="14"/>
        <v>2</v>
      </c>
      <c r="D55" s="123"/>
      <c r="E55" s="123"/>
      <c r="F55" s="123"/>
      <c r="G55" s="123"/>
      <c r="H55" s="123"/>
      <c r="I55" s="123" t="s">
        <v>286</v>
      </c>
      <c r="J55" s="123" t="s">
        <v>286</v>
      </c>
      <c r="K55" s="123"/>
      <c r="L55" s="123"/>
      <c r="M55" s="123"/>
      <c r="N55" s="123"/>
      <c r="O55" s="123"/>
      <c r="P55" s="123"/>
      <c r="Q55" s="123"/>
      <c r="R55" s="123"/>
      <c r="S55" s="154"/>
      <c r="T55" s="154"/>
      <c r="U55" s="154"/>
      <c r="V55" s="154"/>
      <c r="W55" s="154"/>
      <c r="X55" s="154"/>
      <c r="Y55" s="123"/>
      <c r="Z55" s="154"/>
      <c r="AA55" s="154"/>
      <c r="AB55" s="154"/>
      <c r="AC55" s="154"/>
      <c r="AD55" s="154"/>
      <c r="AE55" s="154"/>
      <c r="AF55" s="154"/>
      <c r="AG55" s="154"/>
      <c r="AH55" s="154"/>
      <c r="AI55" s="2" t="e">
        <f t="shared" ca="1" si="21"/>
        <v>#N/A</v>
      </c>
      <c r="AJ55" s="2" t="e">
        <f t="shared" ca="1" si="22"/>
        <v>#N/A</v>
      </c>
      <c r="AK55" s="2" t="e">
        <f t="shared" ca="1" si="23"/>
        <v>#N/A</v>
      </c>
      <c r="AL55" s="2" t="e">
        <f t="shared" ca="1" si="24"/>
        <v>#N/A</v>
      </c>
      <c r="AM55" s="2" t="e">
        <f t="shared" ca="1" si="25"/>
        <v>#N/A</v>
      </c>
      <c r="AN55" s="2"/>
      <c r="AO55" s="124"/>
      <c r="AV55" s="2"/>
    </row>
    <row r="56" spans="1:48">
      <c r="A56" s="113">
        <v>163</v>
      </c>
      <c r="B56" s="136" t="s">
        <v>348</v>
      </c>
      <c r="C56" s="92">
        <f t="shared" si="14"/>
        <v>4</v>
      </c>
      <c r="D56" s="123"/>
      <c r="E56" s="123"/>
      <c r="F56" s="123" t="s">
        <v>286</v>
      </c>
      <c r="G56" s="123" t="s">
        <v>286</v>
      </c>
      <c r="H56" s="123"/>
      <c r="I56" s="123" t="s">
        <v>286</v>
      </c>
      <c r="J56" s="123" t="s">
        <v>286</v>
      </c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2" t="e">
        <f t="shared" ca="1" si="21"/>
        <v>#N/A</v>
      </c>
      <c r="AJ56" s="2" t="e">
        <f t="shared" ca="1" si="22"/>
        <v>#N/A</v>
      </c>
      <c r="AK56" s="2" t="e">
        <f t="shared" ca="1" si="23"/>
        <v>#N/A</v>
      </c>
      <c r="AL56" s="2" t="e">
        <f t="shared" ca="1" si="24"/>
        <v>#N/A</v>
      </c>
      <c r="AM56" s="2" t="e">
        <f t="shared" ca="1" si="25"/>
        <v>#N/A</v>
      </c>
      <c r="AN56" s="2"/>
      <c r="AO56" s="124" t="str">
        <f>IF(C56=0, B56, "")</f>
        <v/>
      </c>
      <c r="AV56" s="155" t="str" cm="1">
        <f t="array" ref="AV56">IFERROR(INDEX($AO$2:$AO$101, SMALL(IF($AO$2:$AO$101&lt;&gt;"", ROW($AO$2:$AO$101)-1), ROW(A55))), "")</f>
        <v/>
      </c>
    </row>
    <row r="57" spans="1:48">
      <c r="A57" s="113">
        <v>164</v>
      </c>
      <c r="B57" s="138" t="s">
        <v>349</v>
      </c>
      <c r="C57" s="92">
        <f t="shared" si="14"/>
        <v>3</v>
      </c>
      <c r="D57" s="142"/>
      <c r="E57" s="123"/>
      <c r="F57" s="123"/>
      <c r="G57" s="123" t="s">
        <v>286</v>
      </c>
      <c r="H57" s="123"/>
      <c r="I57" s="123" t="s">
        <v>286</v>
      </c>
      <c r="J57" s="123" t="s">
        <v>286</v>
      </c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2" t="e">
        <f t="shared" ca="1" si="21"/>
        <v>#N/A</v>
      </c>
      <c r="AJ57" s="2" t="e">
        <f t="shared" ca="1" si="22"/>
        <v>#N/A</v>
      </c>
      <c r="AK57" s="2" t="e">
        <f t="shared" ca="1" si="23"/>
        <v>#N/A</v>
      </c>
      <c r="AL57" s="2" t="e">
        <f t="shared" ca="1" si="24"/>
        <v>#N/A</v>
      </c>
      <c r="AM57" s="2" t="e">
        <f t="shared" ca="1" si="25"/>
        <v>#N/A</v>
      </c>
      <c r="AN57" s="2"/>
      <c r="AO57" s="124" t="str">
        <f>IF(C57=0, B57, "")</f>
        <v/>
      </c>
      <c r="AV57" s="155" t="str" cm="1">
        <f t="array" ref="AV57">IFERROR(INDEX($AO$2:$AO$101, SMALL(IF($AO$2:$AO$101&lt;&gt;"", ROW($AO$2:$AO$101)-1), ROW(A56))), "")</f>
        <v/>
      </c>
    </row>
    <row r="58" spans="1:48">
      <c r="A58" s="130">
        <v>165</v>
      </c>
      <c r="B58" s="135" t="s">
        <v>350</v>
      </c>
      <c r="C58" s="92">
        <f t="shared" si="14"/>
        <v>5</v>
      </c>
      <c r="D58" s="142"/>
      <c r="E58" s="143"/>
      <c r="F58" s="143" t="s">
        <v>286</v>
      </c>
      <c r="G58" s="143" t="s">
        <v>286</v>
      </c>
      <c r="H58" s="143" t="s">
        <v>286</v>
      </c>
      <c r="I58" s="143" t="s">
        <v>286</v>
      </c>
      <c r="J58" s="143" t="s">
        <v>286</v>
      </c>
      <c r="K58" s="143"/>
      <c r="L58" s="143"/>
      <c r="M58" s="143"/>
      <c r="N58" s="143"/>
      <c r="O58" s="143"/>
      <c r="P58" s="143"/>
      <c r="Q58" s="143"/>
      <c r="R58" s="123"/>
      <c r="S58" s="143"/>
      <c r="T58" s="143"/>
      <c r="U58" s="143"/>
      <c r="V58" s="143"/>
      <c r="W58" s="143"/>
      <c r="X58" s="143"/>
      <c r="Y58" s="123"/>
      <c r="Z58" s="143"/>
      <c r="AA58" s="143"/>
      <c r="AB58" s="143"/>
      <c r="AC58" s="143"/>
      <c r="AD58" s="143"/>
      <c r="AE58" s="143"/>
      <c r="AF58" s="143"/>
      <c r="AG58" s="143"/>
      <c r="AH58" s="143"/>
      <c r="AI58" s="2" t="e">
        <f t="shared" ca="1" si="21"/>
        <v>#N/A</v>
      </c>
      <c r="AJ58" s="2" t="e">
        <f t="shared" ca="1" si="22"/>
        <v>#N/A</v>
      </c>
      <c r="AK58" s="2" t="e">
        <f t="shared" ca="1" si="23"/>
        <v>#N/A</v>
      </c>
      <c r="AL58" s="2" t="e">
        <f t="shared" ca="1" si="24"/>
        <v>#N/A</v>
      </c>
      <c r="AM58" s="2" t="e">
        <f t="shared" ca="1" si="25"/>
        <v>#N/A</v>
      </c>
      <c r="AN58" s="2"/>
      <c r="AO58" s="124" t="str">
        <f>IF(C58=0, B58, "")</f>
        <v/>
      </c>
    </row>
    <row r="59" spans="1:48">
      <c r="A59" s="121">
        <v>166</v>
      </c>
      <c r="B59" s="136" t="s">
        <v>351</v>
      </c>
      <c r="C59" s="92">
        <f t="shared" si="14"/>
        <v>2</v>
      </c>
      <c r="D59" s="142"/>
      <c r="E59" s="143"/>
      <c r="F59" s="143"/>
      <c r="G59" s="143"/>
      <c r="H59" s="143"/>
      <c r="I59" s="143" t="s">
        <v>286</v>
      </c>
      <c r="J59" s="143" t="s">
        <v>286</v>
      </c>
      <c r="K59" s="143"/>
      <c r="L59" s="143"/>
      <c r="M59" s="143"/>
      <c r="N59" s="143"/>
      <c r="O59" s="143"/>
      <c r="P59" s="143"/>
      <c r="Q59" s="143"/>
      <c r="R59" s="2"/>
      <c r="S59" s="2"/>
      <c r="T59" s="2"/>
      <c r="U59" s="2"/>
      <c r="V59" s="2"/>
      <c r="W59" s="2"/>
      <c r="X59" s="2"/>
      <c r="Y59" s="123"/>
      <c r="Z59" s="2"/>
      <c r="AA59" s="2"/>
      <c r="AB59" s="2"/>
      <c r="AC59" s="2"/>
      <c r="AD59" s="2"/>
      <c r="AE59" s="2"/>
      <c r="AF59" s="2"/>
      <c r="AG59" s="2"/>
      <c r="AH59" s="2"/>
      <c r="AI59" s="2" t="e">
        <f ca="1">IF(OR(INDEX(D59:AH59,MATCH(TODAY(),D$1:AH$1,0))="sim", INDEX(D59:AH59,MATCH(TODAY(),D$1:AH$1,0))="atestado"), $B48, "")</f>
        <v>#N/A</v>
      </c>
      <c r="AJ59" s="2" t="e">
        <f ca="1">IF(OR(INDEX(D59:AH59,MATCH(TODAY()-1,D$1:AH$1,0))="sim", INDEX(D59:AH59,MATCH(TODAY()-1,D$1:AH$1,0))="atestado"), $B48, "")</f>
        <v>#N/A</v>
      </c>
      <c r="AK59" s="2" t="e">
        <f ca="1">IF(OR(INDEX(D59:AH59,MATCH(TODAY()-2,D$1:AH$1,0))="sim", INDEX(D59:AH59,MATCH(TODAY()-2,D$1:AH$1,0))="atestado"), $B48, "")</f>
        <v>#N/A</v>
      </c>
      <c r="AL59" s="2" t="e">
        <f ca="1">IF(OR(INDEX(D59:AH59,MATCH(TODAY()-3,D$1:AH$1,0))="sim", INDEX(D59:AH59,MATCH(TODAY()-3,D$1:AH$1,0))="atestado"), $B48, "")</f>
        <v>#N/A</v>
      </c>
      <c r="AM59" s="2" t="e">
        <f ca="1">IF(OR(INDEX(D59:AH59,MATCH(TODAY()-4,D$1:AH$1,0))="sim", INDEX(D59:AH59,MATCH(TODAY()-4,D$1:AH$1,0))="atestado"), $B48, "")</f>
        <v>#N/A</v>
      </c>
      <c r="AN59" s="2"/>
      <c r="AO59" s="124"/>
    </row>
    <row r="60" spans="1:48">
      <c r="A60" s="121">
        <v>167</v>
      </c>
      <c r="B60" s="136" t="s">
        <v>352</v>
      </c>
      <c r="C60" s="92">
        <f t="shared" si="14"/>
        <v>2</v>
      </c>
      <c r="D60" s="142"/>
      <c r="E60" s="143"/>
      <c r="F60" s="143"/>
      <c r="G60" s="143"/>
      <c r="H60" s="143"/>
      <c r="I60" s="143" t="s">
        <v>286</v>
      </c>
      <c r="J60" s="143" t="s">
        <v>286</v>
      </c>
      <c r="K60" s="143"/>
      <c r="L60" s="143"/>
      <c r="M60" s="143"/>
      <c r="N60" s="143"/>
      <c r="O60" s="143"/>
      <c r="P60" s="143"/>
      <c r="Q60" s="143"/>
      <c r="R60" s="2"/>
      <c r="S60" s="2"/>
      <c r="T60" s="2"/>
      <c r="U60" s="2"/>
      <c r="V60" s="2"/>
      <c r="W60" s="2"/>
      <c r="X60" s="2"/>
      <c r="Y60" s="154"/>
      <c r="Z60" s="2"/>
      <c r="AA60" s="2"/>
      <c r="AB60" s="2"/>
      <c r="AC60" s="2"/>
      <c r="AD60" s="2"/>
      <c r="AE60" s="2"/>
      <c r="AF60" s="2"/>
      <c r="AG60" s="2"/>
      <c r="AH60" s="2"/>
      <c r="AI60" s="2" t="e">
        <f ca="1">IF(OR(INDEX(D60:AH60,MATCH(TODAY(),D$1:AH$1,0))="sim", INDEX(D60:AH60,MATCH(TODAY(),D$1:AH$1,0))="atestado"), $B60, "")</f>
        <v>#N/A</v>
      </c>
      <c r="AJ60" s="2" t="e">
        <f ca="1">IF(OR(INDEX(D60:AH60,MATCH(TODAY()-1,D$1:AH$1,0))="sim", INDEX(D60:AH60,MATCH(TODAY()-1,D$1:AH$1,0))="atestado"), $B60, "")</f>
        <v>#N/A</v>
      </c>
      <c r="AK60" s="2" t="e">
        <f ca="1">IF(OR(INDEX(D60:AH60,MATCH(TODAY()-2,D$1:AH$1,0))="sim", INDEX(D60:AH60,MATCH(TODAY()-2,D$1:AH$1,0))="atestado"), $B60, "")</f>
        <v>#N/A</v>
      </c>
      <c r="AL60" s="2" t="e">
        <f ca="1">IF(OR(INDEX(D60:AH60,MATCH(TODAY()-3,D$1:AH$1,0))="sim", INDEX(D60:AH60,MATCH(TODAY()-3,D$1:AH$1,0))="atestado"), $B60, "")</f>
        <v>#N/A</v>
      </c>
      <c r="AM60" s="2" t="e">
        <f ca="1">IF(OR(INDEX(D60:AH60,MATCH(TODAY()-4,D$1:AH$1,0))="sim", INDEX(D60:AH60,MATCH(TODAY()-4,D$1:AH$1,0))="atestado"), $B60, "")</f>
        <v>#N/A</v>
      </c>
      <c r="AN60" s="2"/>
      <c r="AO60" s="124"/>
    </row>
    <row r="61" spans="1:48">
      <c r="A61" s="121">
        <v>168</v>
      </c>
      <c r="B61" s="136" t="s">
        <v>353</v>
      </c>
      <c r="C61" s="92">
        <f t="shared" si="14"/>
        <v>2</v>
      </c>
      <c r="D61" s="142"/>
      <c r="E61" s="143"/>
      <c r="F61" s="143"/>
      <c r="G61" s="143"/>
      <c r="H61" s="143"/>
      <c r="I61" s="143" t="s">
        <v>286</v>
      </c>
      <c r="J61" s="143" t="s">
        <v>286</v>
      </c>
      <c r="K61" s="143"/>
      <c r="L61" s="143"/>
      <c r="M61" s="143"/>
      <c r="N61" s="143"/>
      <c r="O61" s="143"/>
      <c r="P61" s="143"/>
      <c r="Q61" s="143"/>
      <c r="R61" s="2"/>
      <c r="S61" s="2"/>
      <c r="T61" s="2"/>
      <c r="U61" s="2"/>
      <c r="V61" s="2"/>
      <c r="W61" s="2"/>
      <c r="X61" s="2"/>
      <c r="Y61" s="143"/>
      <c r="Z61" s="2"/>
      <c r="AA61" s="2"/>
      <c r="AB61" s="2"/>
      <c r="AC61" s="2"/>
      <c r="AD61" s="2"/>
      <c r="AE61" s="2"/>
      <c r="AF61" s="2"/>
      <c r="AG61" s="2"/>
      <c r="AH61" s="2"/>
      <c r="AI61" s="2" t="e">
        <f ca="1">IF(OR(INDEX(D61:AH61,MATCH(TODAY(),D$1:AH$1,0))="sim", INDEX(D61:AH61,MATCH(TODAY(),D$1:AH$1,0))="atestado"), $B61, "")</f>
        <v>#N/A</v>
      </c>
      <c r="AJ61" s="2" t="e">
        <f ca="1">IF(OR(INDEX(D61:AH61,MATCH(TODAY()-1,D$1:AH$1,0))="sim", INDEX(D61:AH61,MATCH(TODAY()-1,D$1:AH$1,0))="atestado"), $B61, "")</f>
        <v>#N/A</v>
      </c>
      <c r="AK61" s="2" t="e">
        <f ca="1">IF(OR(INDEX(D61:AH61,MATCH(TODAY()-2,D$1:AH$1,0))="sim", INDEX(D61:AH61,MATCH(TODAY()-2,D$1:AH$1,0))="atestado"), $B61, "")</f>
        <v>#N/A</v>
      </c>
      <c r="AL61" s="2" t="e">
        <f ca="1">IF(OR(INDEX(D61:AH61,MATCH(TODAY()-3,D$1:AH$1,0))="sim", INDEX(D61:AH61,MATCH(TODAY()-3,D$1:AH$1,0))="atestado"), $B61, "")</f>
        <v>#N/A</v>
      </c>
      <c r="AM61" s="2" t="e">
        <f ca="1">IF(OR(INDEX(D61:AH61,MATCH(TODAY()-4,D$1:AH$1,0))="sim", INDEX(D61:AH61,MATCH(TODAY()-4,D$1:AH$1,0))="atestado"), $B61, "")</f>
        <v>#N/A</v>
      </c>
      <c r="AN61" s="2"/>
      <c r="AO61" s="124"/>
    </row>
    <row r="62" spans="1:48">
      <c r="A62" s="121"/>
      <c r="B62" s="138"/>
      <c r="C62" s="137"/>
      <c r="D62" s="142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 t="e">
        <f t="shared" ref="AI62:AI68" ca="1" si="26">IF(OR(INDEX(D62:AH62,MATCH(TODAY(),D$1:AH$1,0))="sim", INDEX(D62:AH62,MATCH(TODAY(),D$1:AH$1,0))="atestado"), $B62, "")</f>
        <v>#N/A</v>
      </c>
      <c r="AJ62" s="2" t="e">
        <f t="shared" ref="AJ62:AJ68" ca="1" si="27">IF(OR(INDEX(D62:AH62,MATCH(TODAY()-1,D$1:AH$1,0))="sim", INDEX(D62:AH62,MATCH(TODAY()-1,D$1:AH$1,0))="atestado"), $B62, "")</f>
        <v>#N/A</v>
      </c>
      <c r="AK62" s="2" t="e">
        <f t="shared" ref="AK62:AK68" ca="1" si="28">IF(OR(INDEX(D62:AH62,MATCH(TODAY()-2,D$1:AH$1,0))="sim", INDEX(D62:AH62,MATCH(TODAY()-2,D$1:AH$1,0))="atestado"), $B62, "")</f>
        <v>#N/A</v>
      </c>
      <c r="AL62" s="2" t="e">
        <f t="shared" ref="AL62:AL68" ca="1" si="29">IF(OR(INDEX(D62:AH62,MATCH(TODAY()-3,D$1:AH$1,0))="sim", INDEX(D62:AH62,MATCH(TODAY()-3,D$1:AH$1,0))="atestado"), $B62, "")</f>
        <v>#N/A</v>
      </c>
      <c r="AM62" s="2" t="e">
        <f t="shared" ref="AM62:AM68" ca="1" si="30">IF(OR(INDEX(D62:AH62,MATCH(TODAY()-4,D$1:AH$1,0))="sim", INDEX(D62:AH62,MATCH(TODAY()-4,D$1:AH$1,0))="atestado"), $B62, "")</f>
        <v>#N/A</v>
      </c>
      <c r="AN62" s="2"/>
      <c r="AO62" s="124"/>
    </row>
    <row r="63" spans="1:48">
      <c r="A63" s="121"/>
      <c r="B63" s="138"/>
      <c r="C63" s="137"/>
      <c r="D63" s="142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 t="e">
        <f t="shared" ca="1" si="26"/>
        <v>#N/A</v>
      </c>
      <c r="AJ63" s="2" t="e">
        <f t="shared" ca="1" si="27"/>
        <v>#N/A</v>
      </c>
      <c r="AK63" s="2" t="e">
        <f t="shared" ca="1" si="28"/>
        <v>#N/A</v>
      </c>
      <c r="AL63" s="2" t="e">
        <f t="shared" ca="1" si="29"/>
        <v>#N/A</v>
      </c>
      <c r="AM63" s="2" t="e">
        <f t="shared" ca="1" si="30"/>
        <v>#N/A</v>
      </c>
      <c r="AN63" s="2"/>
      <c r="AO63" s="124"/>
    </row>
    <row r="64" spans="1:48">
      <c r="A64" s="121"/>
      <c r="B64" s="136"/>
      <c r="C64" s="137"/>
      <c r="D64" s="142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 t="e">
        <f t="shared" ca="1" si="26"/>
        <v>#N/A</v>
      </c>
      <c r="AJ64" s="2" t="e">
        <f t="shared" ca="1" si="27"/>
        <v>#N/A</v>
      </c>
      <c r="AK64" s="2" t="e">
        <f t="shared" ca="1" si="28"/>
        <v>#N/A</v>
      </c>
      <c r="AL64" s="2" t="e">
        <f t="shared" ca="1" si="29"/>
        <v>#N/A</v>
      </c>
      <c r="AM64" s="2" t="e">
        <f t="shared" ca="1" si="30"/>
        <v>#N/A</v>
      </c>
      <c r="AN64" s="2"/>
      <c r="AO64" s="124"/>
    </row>
    <row r="65" spans="1:41">
      <c r="A65" s="121"/>
      <c r="B65" s="138"/>
      <c r="C65" s="137"/>
      <c r="D65" s="142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 t="e">
        <f t="shared" ca="1" si="26"/>
        <v>#N/A</v>
      </c>
      <c r="AJ65" s="2" t="e">
        <f t="shared" ca="1" si="27"/>
        <v>#N/A</v>
      </c>
      <c r="AK65" s="2" t="e">
        <f t="shared" ca="1" si="28"/>
        <v>#N/A</v>
      </c>
      <c r="AL65" s="2" t="e">
        <f t="shared" ca="1" si="29"/>
        <v>#N/A</v>
      </c>
      <c r="AM65" s="2" t="e">
        <f t="shared" ca="1" si="30"/>
        <v>#N/A</v>
      </c>
      <c r="AN65" s="2"/>
      <c r="AO65" s="124"/>
    </row>
    <row r="66" spans="1:41">
      <c r="A66" s="121"/>
      <c r="B66" s="138"/>
      <c r="C66" s="137"/>
      <c r="D66" s="142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 t="e">
        <f t="shared" ca="1" si="26"/>
        <v>#N/A</v>
      </c>
      <c r="AJ66" s="2" t="e">
        <f t="shared" ca="1" si="27"/>
        <v>#N/A</v>
      </c>
      <c r="AK66" s="2" t="e">
        <f t="shared" ca="1" si="28"/>
        <v>#N/A</v>
      </c>
      <c r="AL66" s="2" t="e">
        <f t="shared" ca="1" si="29"/>
        <v>#N/A</v>
      </c>
      <c r="AM66" s="2" t="e">
        <f t="shared" ca="1" si="30"/>
        <v>#N/A</v>
      </c>
      <c r="AN66" s="2"/>
      <c r="AO66" s="124"/>
    </row>
    <row r="67" spans="1:41">
      <c r="A67" s="121"/>
      <c r="B67" s="138"/>
      <c r="C67" s="137"/>
      <c r="D67" s="142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 t="e">
        <f t="shared" ca="1" si="26"/>
        <v>#N/A</v>
      </c>
      <c r="AJ67" s="2" t="e">
        <f t="shared" ca="1" si="27"/>
        <v>#N/A</v>
      </c>
      <c r="AK67" s="2" t="e">
        <f t="shared" ca="1" si="28"/>
        <v>#N/A</v>
      </c>
      <c r="AL67" s="2" t="e">
        <f t="shared" ca="1" si="29"/>
        <v>#N/A</v>
      </c>
      <c r="AM67" s="2" t="e">
        <f t="shared" ca="1" si="30"/>
        <v>#N/A</v>
      </c>
      <c r="AN67" s="2"/>
      <c r="AO67" s="124"/>
    </row>
    <row r="68" spans="1:41">
      <c r="A68" s="152"/>
      <c r="B68" s="138"/>
      <c r="C68" s="139"/>
      <c r="D68" s="144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2" t="e">
        <f t="shared" ca="1" si="26"/>
        <v>#N/A</v>
      </c>
      <c r="AJ68" s="2" t="e">
        <f t="shared" ca="1" si="27"/>
        <v>#N/A</v>
      </c>
      <c r="AK68" s="2" t="e">
        <f t="shared" ca="1" si="28"/>
        <v>#N/A</v>
      </c>
      <c r="AL68" s="2" t="e">
        <f t="shared" ca="1" si="29"/>
        <v>#N/A</v>
      </c>
      <c r="AM68" s="2" t="e">
        <f t="shared" ca="1" si="30"/>
        <v>#N/A</v>
      </c>
      <c r="AN68" s="2"/>
      <c r="AO68" s="2"/>
    </row>
    <row r="69" spans="1:41"/>
    <row r="70" spans="1:41"/>
  </sheetData>
  <sortState xmlns:xlrd2="http://schemas.microsoft.com/office/spreadsheetml/2017/richdata2" ref="A33:AW61">
    <sortCondition ref="A33:A61"/>
  </sortState>
  <mergeCells count="1">
    <mergeCell ref="AI1:AM1"/>
  </mergeCells>
  <conditionalFormatting sqref="A3:A6 A24 A54:A57">
    <cfRule type="containsText" dxfId="1191" priority="795" operator="containsText" text="INATIVO">
      <formula>NOT(ISERROR(SEARCH(("INATIVO"),(#REF!))))</formula>
    </cfRule>
  </conditionalFormatting>
  <conditionalFormatting sqref="A4:A5 S2:S30 U2:U30 W2:W30 Y2:Y30 AA2:AA30 AC2:AC30 AE2:AE30 AG2:AH30 M3:R4 T3:T4 V3:V4 X3:X4 Z3:Z4 AB3:AB4 AD3:AD4 AF3:AF4 D3:AF30 C3:C67 D3:D68 AH4 M5:Q30 T6:T7 V6:V7 X6:X7 Z6:Z7 AB6:AB7 AD6:AD7 AF6:AF7 AH6:AH7 R11:R12 T11:T14 V11:V14 X11:X14 Z11:Z14 AB11:AB14 AD11:AD14 AF11:AF14 AH11:AH14 R14 T20:T21 V20:V21 X20:X21 Z20:Z21 AB20:AB21 AD20:AD21 AF20:AF21 AH20:AH21 R21 R25 T25 V25 X25 Z25 AB25 AD25 AF25 AH25 T27:T28 V27:V28 X27:X28 Z27:Z28 AB27:AB28 AD27:AD28 AF27:AF28 AH27:AH28 E31:AO32 E33:AH57 R58 Y58:Y60 E58:Q67">
    <cfRule type="containsText" dxfId="1190" priority="789" operator="containsText" text="ATIVO">
      <formula>NOT(ISERROR(SEARCH(("ATIVO"),(#REF!))))</formula>
    </cfRule>
  </conditionalFormatting>
  <conditionalFormatting sqref="A6">
    <cfRule type="containsText" dxfId="1189" priority="764" operator="containsText" text="INATIVO">
      <formula>NOT(ISERROR(SEARCH(("INATIVO"),(#REF!))))</formula>
    </cfRule>
    <cfRule type="containsText" dxfId="1188" priority="785" operator="containsText" text="ATIVO">
      <formula>NOT(ISERROR(SEARCH(("ATIVO"),(#REF!))))</formula>
    </cfRule>
  </conditionalFormatting>
  <conditionalFormatting sqref="A8 A13:B13 A11 A15">
    <cfRule type="containsText" dxfId="1187" priority="680" operator="containsText" text="ATIVO">
      <formula>NOT(ISERROR(SEARCH(("ATIVO"),(#REF!))))</formula>
    </cfRule>
  </conditionalFormatting>
  <conditionalFormatting sqref="A8:A20 D32 F32 H32 J32 L32 N32 P32 R32 T32 V32 X32 Z32 AB32 AD32 AF32 AH32 A56:A57 A22:B22 A25:A30 A32:B32 A33 A34:B34 A38:B40 A42:B42 B24:B30">
    <cfRule type="containsText" dxfId="1186" priority="716" operator="containsText" text="INATIVO">
      <formula>NOT(ISERROR(SEARCH(("INATIVO"),(#REF!))))</formula>
    </cfRule>
  </conditionalFormatting>
  <conditionalFormatting sqref="A9:A10 A12">
    <cfRule type="containsText" dxfId="1185" priority="707" operator="containsText" text="ATIVO">
      <formula>NOT(ISERROR(SEARCH(("ATIVO"),(#REF!))))</formula>
    </cfRule>
  </conditionalFormatting>
  <conditionalFormatting sqref="A9:A18 A20">
    <cfRule type="containsText" dxfId="1184" priority="699" operator="containsText" text="ROTA">
      <formula>NOT(ISERROR(SEARCH(("ROTA"),(#REF!))))</formula>
    </cfRule>
  </conditionalFormatting>
  <conditionalFormatting sqref="A11 A13:A15">
    <cfRule type="containsText" dxfId="1183" priority="697" operator="containsText" text="ATIVO">
      <formula>NOT(ISERROR(SEARCH(("ATIVO"),(#REF!))))</formula>
    </cfRule>
  </conditionalFormatting>
  <conditionalFormatting sqref="A16:A20 A54:A57">
    <cfRule type="containsText" dxfId="1182" priority="706" operator="containsText" text="ATIVO">
      <formula>NOT(ISERROR(SEARCH(("ATIVO"),(#REF!))))</formula>
    </cfRule>
  </conditionalFormatting>
  <conditionalFormatting sqref="A18:A19">
    <cfRule type="containsText" dxfId="1181" priority="619" operator="containsText" text="ATIVO">
      <formula>NOT(ISERROR(SEARCH(("ATIVO"),(#REF!))))</formula>
    </cfRule>
  </conditionalFormatting>
  <conditionalFormatting sqref="A19">
    <cfRule type="containsText" dxfId="1180" priority="622" operator="containsText" text="INATIVO">
      <formula>NOT(ISERROR(SEARCH(("INATIVO"),(#REF!))))</formula>
    </cfRule>
  </conditionalFormatting>
  <conditionalFormatting sqref="A22 A24:A30 A32:A34 A38:A40 A42 B3:B6 B2:AF2 E68:AH68">
    <cfRule type="containsText" dxfId="1179" priority="791" operator="containsText" text="ATIVO">
      <formula>NOT(ISERROR(SEARCH(("ATIVO"),(#REF!))))</formula>
    </cfRule>
  </conditionalFormatting>
  <conditionalFormatting sqref="A41">
    <cfRule type="containsText" dxfId="1178" priority="546" operator="containsText" text="ATIVO">
      <formula>NOT(ISERROR(SEARCH(("ATIVO"),(#REF!))))</formula>
    </cfRule>
    <cfRule type="containsText" dxfId="1177" priority="549" operator="containsText" text="INATIVO">
      <formula>NOT(ISERROR(SEARCH(("INATIVO"),(#REF!))))</formula>
    </cfRule>
    <cfRule type="containsText" dxfId="1176" priority="597" operator="containsText" text="ATIVO">
      <formula>NOT(ISERROR(SEARCH(("ATIVO"),(#REF!))))</formula>
    </cfRule>
  </conditionalFormatting>
  <conditionalFormatting sqref="A43:A48 A50:A53">
    <cfRule type="containsText" dxfId="1175" priority="474" operator="containsText" text="ATIVO">
      <formula>NOT(ISERROR(SEARCH(("ATIVO"),(#REF!))))</formula>
    </cfRule>
    <cfRule type="containsText" dxfId="1174" priority="477" operator="containsText" text="INATIVO">
      <formula>NOT(ISERROR(SEARCH(("INATIVO"),(#REF!))))</formula>
    </cfRule>
    <cfRule type="containsText" dxfId="1173" priority="524" operator="containsText" text="ATIVO">
      <formula>NOT(ISERROR(SEARCH(("ATIVO"),(#REF!))))</formula>
    </cfRule>
  </conditionalFormatting>
  <conditionalFormatting sqref="A49">
    <cfRule type="containsText" dxfId="1172" priority="11" operator="containsText" text="ATIVO">
      <formula>NOT(ISERROR(SEARCH(("ATIVO"),(#REF!))))</formula>
    </cfRule>
    <cfRule type="containsText" dxfId="1171" priority="15" operator="containsText" text="INATIVO">
      <formula>NOT(ISERROR(SEARCH(("INATIVO"),(#REF!))))</formula>
    </cfRule>
    <cfRule type="containsText" dxfId="1170" priority="24" operator="containsText" text="ATIVO">
      <formula>NOT(ISERROR(SEARCH(("ATIVO"),(#REF!))))</formula>
    </cfRule>
  </conditionalFormatting>
  <conditionalFormatting sqref="A56:A57 A13">
    <cfRule type="containsText" dxfId="1169" priority="675" operator="containsText" text="INATIVO">
      <formula>NOT(ISERROR(SEARCH(("INATIVO"),(#REF!))))</formula>
    </cfRule>
  </conditionalFormatting>
  <conditionalFormatting sqref="A61">
    <cfRule type="containsText" dxfId="1168" priority="336" operator="containsText" text="ATIVO">
      <formula>NOT(ISERROR(SEARCH(("ATIVO"),(#REF!))))</formula>
    </cfRule>
    <cfRule type="containsText" dxfId="1167" priority="339" operator="containsText" text="INATIVO">
      <formula>NOT(ISERROR(SEARCH(("INATIVO"),(#REF!))))</formula>
    </cfRule>
  </conditionalFormatting>
  <conditionalFormatting sqref="A63:A65">
    <cfRule type="containsText" dxfId="1166" priority="263" operator="containsText" text="ATIVO">
      <formula>NOT(ISERROR(SEARCH(("ATIVO"),(#REF!))))</formula>
    </cfRule>
    <cfRule type="containsText" dxfId="1165" priority="266" operator="containsText" text="INATIVO">
      <formula>NOT(ISERROR(SEARCH(("INATIVO"),(#REF!))))</formula>
    </cfRule>
    <cfRule type="containsText" dxfId="1164" priority="319" operator="containsText" text="INATIVO">
      <formula>NOT(ISERROR(SEARCH(("INATIVO"),(#REF!))))</formula>
    </cfRule>
  </conditionalFormatting>
  <conditionalFormatting sqref="A3:B3">
    <cfRule type="containsText" dxfId="1163" priority="755" operator="containsText" text="INDISPONÍVEL">
      <formula>NOT(ISERROR(SEARCH(("INDISPONÍVEL"),(#REF!))))</formula>
    </cfRule>
    <cfRule type="containsText" dxfId="1162" priority="756" operator="containsText" text="ROTA">
      <formula>NOT(ISERROR(SEARCH(("ROTA"),(#REF!))))</formula>
    </cfRule>
    <cfRule type="containsText" dxfId="1161" priority="757" operator="containsText" text="INATIVO">
      <formula>NOT(ISERROR(SEARCH(("INATIVO"),(A3))))</formula>
    </cfRule>
    <cfRule type="containsText" dxfId="1160" priority="758" operator="containsText" text="INTEGRAÇÃO">
      <formula>NOT(ISERROR(SEARCH(("INTEGRAÇÃO"),(#REF!))))</formula>
    </cfRule>
  </conditionalFormatting>
  <conditionalFormatting sqref="A3:B4 A2:AF2 A24:A30 A54:A57 E68:AH68 AG2:AH30 D3:AF30 C3:C67 D3:D68 E31:AO32 E33:AH57 R58 Y58:Y60 E58:Q67 A22 A32:A34 A38:A40 A42">
    <cfRule type="containsText" dxfId="1159" priority="752" operator="containsText" text="INATIVO">
      <formula>NOT(ISERROR(SEARCH(("INATIVO"),(#REF!))))</formula>
    </cfRule>
  </conditionalFormatting>
  <conditionalFormatting sqref="A3:B5 A2:AF2 AG2:AH30 D3:AF30 C3:C67 E31:AO32 D31:D68 E33:AH57 R58 Y58:Y60 E58:Q67 E68:AH68">
    <cfRule type="containsText" dxfId="1158" priority="800" operator="containsText" text="ROTA">
      <formula>NOT(ISERROR(SEARCH(("ROTA"),(#REF!))))</formula>
    </cfRule>
  </conditionalFormatting>
  <conditionalFormatting sqref="A3:B5">
    <cfRule type="containsText" dxfId="1157" priority="741" operator="containsText" text="INDISPONÍVEL">
      <formula>NOT(ISERROR(SEARCH(("INDISPONÍVEL"),(#REF!))))</formula>
    </cfRule>
    <cfRule type="containsText" dxfId="1156" priority="747" operator="containsText" text="5X2">
      <formula>NOT(ISERROR(SEARCH(("5X2"),(#REF!))))</formula>
    </cfRule>
    <cfRule type="containsText" dxfId="1155" priority="750" operator="containsText" text="INTEGRAÇÃO">
      <formula>NOT(ISERROR(SEARCH(("INTEGRAÇÃO"),(#REF!))))</formula>
    </cfRule>
    <cfRule type="containsText" dxfId="1154" priority="799" operator="containsText" text="INDISPONÍVEL">
      <formula>NOT(ISERROR(SEARCH(("INDISPONÍVEL"),(#REF!))))</formula>
    </cfRule>
    <cfRule type="containsText" dxfId="1153" priority="804" operator="containsText" text="5X2">
      <formula>NOT(ISERROR(SEARCH(("5X2"),(#REF!))))</formula>
    </cfRule>
    <cfRule type="containsText" dxfId="1152" priority="805" operator="containsText" text="INATIVO">
      <formula>NOT(ISERROR(SEARCH(("INATIVO"),(#REF!))))</formula>
    </cfRule>
    <cfRule type="containsText" dxfId="1151" priority="816" operator="containsText" text="ATIVO">
      <formula>NOT(ISERROR(SEARCH(("ATIVO"),(#REF!))))</formula>
    </cfRule>
  </conditionalFormatting>
  <conditionalFormatting sqref="A3:B6">
    <cfRule type="containsText" dxfId="1150" priority="776" operator="containsText" text="ATIVO">
      <formula>NOT(ISERROR(SEARCH(("ATIVO"),(#REF!))))</formula>
    </cfRule>
    <cfRule type="containsText" dxfId="1149" priority="779" operator="containsText" text="ROTA">
      <formula>NOT(ISERROR(SEARCH(("ROTA"),(#REF!))))</formula>
    </cfRule>
    <cfRule type="containsText" dxfId="1148" priority="794" operator="containsText" text="INATIVO">
      <formula>NOT(ISERROR(SEARCH(("INATIVO"),(#REF!))))</formula>
    </cfRule>
    <cfRule type="containsText" dxfId="1147" priority="808" operator="containsText" text="INATIVO">
      <formula>NOT(ISERROR(SEARCH(("INATIVO"),(#REF!))))</formula>
    </cfRule>
    <cfRule type="containsText" dxfId="1146" priority="809" operator="containsText" text="ATIVO">
      <formula>NOT(ISERROR(SEARCH(("ATIVO"),(#REF!))))</formula>
    </cfRule>
    <cfRule type="containsText" dxfId="1145" priority="810" operator="containsText" text="5X2">
      <formula>NOT(ISERROR(SEARCH(("5X2"),(A3))))</formula>
    </cfRule>
    <cfRule type="containsText" dxfId="1144" priority="811" operator="containsText" text="INATIVO">
      <formula>NOT(ISERROR(SEARCH(("INATIVO"),(A3))))</formula>
    </cfRule>
    <cfRule type="containsText" dxfId="1143" priority="812" operator="containsText" text="ATIVO">
      <formula>NOT(ISERROR(SEARCH(("ATIVO"),(A3))))</formula>
    </cfRule>
    <cfRule type="containsText" dxfId="1142" priority="813" operator="containsText" text="INDISPONÍVEL">
      <formula>NOT(ISERROR(SEARCH(("INDISPONÍVEL"),(A3))))</formula>
    </cfRule>
    <cfRule type="containsText" dxfId="1141" priority="814" operator="containsText" text="ROTA">
      <formula>NOT(ISERROR(SEARCH(("ROTA"),(A3))))</formula>
    </cfRule>
    <cfRule type="containsText" dxfId="1140" priority="815" operator="containsText" text="INTEGRAÇÃO">
      <formula>NOT(ISERROR(SEARCH(("INTEGRAÇÃO"),(A3))))</formula>
    </cfRule>
    <cfRule type="cellIs" dxfId="1139" priority="817" operator="equal">
      <formula>"INDISPONIVEL"</formula>
    </cfRule>
  </conditionalFormatting>
  <conditionalFormatting sqref="A4:B5">
    <cfRule type="containsText" dxfId="1138" priority="788" operator="containsText" text="INATIVO">
      <formula>NOT(ISERROR(SEARCH(("INATIVO"),(#REF!))))</formula>
    </cfRule>
    <cfRule type="containsText" dxfId="1137" priority="797" operator="containsText" text="INTEGRAÇÃO">
      <formula>NOT(ISERROR(SEARCH(("INTEGRAÇÃO"),(#REF!))))</formula>
    </cfRule>
  </conditionalFormatting>
  <conditionalFormatting sqref="A4:B6 A8:B15">
    <cfRule type="containsText" dxfId="1136" priority="807" operator="containsText" text="ROTA">
      <formula>NOT(ISERROR(SEARCH(("ROTA"),(#REF!))))</formula>
    </cfRule>
  </conditionalFormatting>
  <conditionalFormatting sqref="A4:B6 E31:AO32 D31:D68 A2:AF2 AG2:AH30 D3:AF30 C3:C67 E33:AH57 R57:R58 Y57:Y60 E58:Q67 E68:AH68">
    <cfRule type="containsText" dxfId="1135" priority="806" operator="containsText" text="INDISPONÍVEL">
      <formula>NOT(ISERROR(SEARCH(("INDISPONÍVEL"),(#REF!))))</formula>
    </cfRule>
  </conditionalFormatting>
  <conditionalFormatting sqref="A4:B6">
    <cfRule type="containsText" dxfId="1134" priority="818" operator="containsText" text="INATIVO">
      <formula>NOT(ISERROR(SEARCH(("INATIVO"),(A4))))</formula>
    </cfRule>
    <cfRule type="containsText" dxfId="1133" priority="819" operator="containsText" text="INTEGRAÇÃO">
      <formula>NOT(ISERROR(SEARCH(("INTEGRAÇÃO"),(#REF!))))</formula>
    </cfRule>
  </conditionalFormatting>
  <conditionalFormatting sqref="A5:B6 D32 F32 H32 J32 L32 N32 P32 R32 T32 V32 X32 Z32 AB32 AD32 AF32 AH32 A22:B22 A24:B30 A32:B32 A33 A34:B34 A38:B40 A42:B42 A54:B55">
    <cfRule type="containsText" dxfId="1132" priority="801" operator="containsText" text="INATIVO">
      <formula>NOT(ISERROR(SEARCH(("INATIVO"),(#REF!))))</formula>
    </cfRule>
  </conditionalFormatting>
  <conditionalFormatting sqref="A6:B6 A22:B22 A24:B30 A32:B32 D32 F32 H32 J32 L32 N32 P32 R32 T32 V32 X32 Z32 AB32 AD32 AF32 AH32 A33 A34:B34 A38:B40 A42:B42 B2:AF2 AG2:AH30 D3:AF30 E68:AH68">
    <cfRule type="containsText" dxfId="1131" priority="774" operator="containsText" text="INATIVO">
      <formula>NOT(ISERROR(SEARCH(("INATIVO"),(#REF!))))</formula>
    </cfRule>
  </conditionalFormatting>
  <conditionalFormatting sqref="A6:B6 A22:B22 A24:B30 A32:B32 D32 F32 H32 J32 L32 N32 P32 R32 T32 V32 X32 Z32 AB32 AD32 AF32 AH32 A34:B34 A38:B40 A42:B42 A54:B55 A33 A56:A57">
    <cfRule type="containsText" dxfId="1130" priority="773" operator="containsText" text="ROTA">
      <formula>NOT(ISERROR(SEARCH(("ROTA"),(#REF!))))</formula>
    </cfRule>
  </conditionalFormatting>
  <conditionalFormatting sqref="A6:B6 A2:AF2 AG2:AH30 D3:AF30 C3:C67 E31:AO32 D31:D68 E33:AH57 R58 Y58:Y60 E58:Q67 E68:AH68 A22:B22 A24:B30 A32:B32 A33 A34:B34 A38:B40 A42:B42 A54:B55 A56:A57">
    <cfRule type="containsText" dxfId="1129" priority="784" operator="containsText" text="INTEGRAÇÃO">
      <formula>NOT(ISERROR(SEARCH(("INTEGRAÇÃO"),(#REF!))))</formula>
    </cfRule>
  </conditionalFormatting>
  <conditionalFormatting sqref="A6:B6">
    <cfRule type="containsText" dxfId="1128" priority="760" operator="containsText" text="INATIVO">
      <formula>NOT(ISERROR(SEARCH(("INATIVO"),(#REF!))))</formula>
    </cfRule>
    <cfRule type="containsText" dxfId="1127" priority="762" operator="containsText" text="ATIVO">
      <formula>NOT(ISERROR(SEARCH(("ATIVO"),(#REF!))))</formula>
    </cfRule>
    <cfRule type="containsText" dxfId="1126" priority="769" operator="containsText" text="ROTA">
      <formula>NOT(ISERROR(SEARCH(("ROTA"),(#REF!))))</formula>
    </cfRule>
    <cfRule type="containsText" dxfId="1125" priority="770" operator="containsText" text="INATIVO">
      <formula>NOT(ISERROR(SEARCH(("INATIVO"),(#REF!))))</formula>
    </cfRule>
    <cfRule type="containsText" dxfId="1124" priority="772" operator="containsText" text="5X2">
      <formula>NOT(ISERROR(SEARCH(("5X2"),(#REF!))))</formula>
    </cfRule>
    <cfRule type="containsText" dxfId="1123" priority="775" operator="containsText" text="ROTA">
      <formula>NOT(ISERROR(SEARCH(("ROTA"),(#REF!))))</formula>
    </cfRule>
    <cfRule type="containsText" dxfId="1122" priority="778" operator="containsText" text="INDISPONÍVEL">
      <formula>NOT(ISERROR(SEARCH(("INDISPONÍVEL"),(#REF!))))</formula>
    </cfRule>
    <cfRule type="containsText" dxfId="1121" priority="780" operator="containsText" text="5X2">
      <formula>NOT(ISERROR(SEARCH(("5X2"),(#REF!))))</formula>
    </cfRule>
    <cfRule type="containsText" dxfId="1120" priority="781" operator="containsText" text="ATIVO">
      <formula>NOT(ISERROR(SEARCH(("ATIVO"),(#REF!))))</formula>
    </cfRule>
    <cfRule type="containsText" dxfId="1119" priority="782" operator="containsText" text="5X2">
      <formula>NOT(ISERROR(SEARCH(("5X2"),(#REF!))))</formula>
    </cfRule>
    <cfRule type="containsText" dxfId="1118" priority="786" operator="containsText" text="INDISPONÍVEL">
      <formula>NOT(ISERROR(SEARCH(("INDISPONÍVEL"),(#REF!))))</formula>
    </cfRule>
  </conditionalFormatting>
  <conditionalFormatting sqref="A8:B8 A56:A57 A24:B28 A30:B30 A34:B34 A42:B42 A54:B55">
    <cfRule type="containsText" dxfId="1117" priority="692" operator="containsText" text="INDISPONÍVEL">
      <formula>NOT(ISERROR(SEARCH(("INDISPONÍVEL"),(#REF!))))</formula>
    </cfRule>
  </conditionalFormatting>
  <conditionalFormatting sqref="A8:B8 A11:B11 A24:A30 A32:A34 A42 A22 A38:A40">
    <cfRule type="containsText" dxfId="1116" priority="708" operator="containsText" text="ATIVO">
      <formula>NOT(ISERROR(SEARCH(("ATIVO"),(#REF!))))</formula>
    </cfRule>
  </conditionalFormatting>
  <conditionalFormatting sqref="A8:B8 A11:B11 A13:B15">
    <cfRule type="containsText" dxfId="1115" priority="713" operator="containsText" text="5X2">
      <formula>NOT(ISERROR(SEARCH(("5X2"),(#REF!))))</formula>
    </cfRule>
    <cfRule type="containsText" dxfId="1114" priority="724" operator="containsText" text="INDISPONÍVEL">
      <formula>NOT(ISERROR(SEARCH(("INDISPONÍVEL"),(#REF!))))</formula>
    </cfRule>
    <cfRule type="containsText" dxfId="1113" priority="725" operator="containsText" text="ROTA">
      <formula>NOT(ISERROR(SEARCH(("ROTA"),(#REF!))))</formula>
    </cfRule>
  </conditionalFormatting>
  <conditionalFormatting sqref="A8:B8 A54:B55 A56:A57 C3:C67 E31:E32 G31:G32 I31:I32 K31:K32 M31:M32 O31:O32 Q31:Q32 S31:S32 U31:U32 W31:W32 Y31:Y32 AA31:AA32 AC31:AC32 AE31:AE32 AG31:AG32">
    <cfRule type="containsText" dxfId="1112" priority="709" operator="containsText" text="INDISPONÍVEL">
      <formula>NOT(ISERROR(SEARCH(("INDISPONÍVEL"),(#REF!))))</formula>
    </cfRule>
  </conditionalFormatting>
  <conditionalFormatting sqref="A8:B8">
    <cfRule type="containsText" dxfId="1111" priority="679" operator="containsText" text="INATIVO">
      <formula>NOT(ISERROR(SEARCH(("INATIVO"),(#REF!))))</formula>
    </cfRule>
    <cfRule type="containsText" dxfId="1110" priority="694" operator="containsText" text="ATIVO">
      <formula>NOT(ISERROR(SEARCH(("ATIVO"),(#REF!))))</formula>
    </cfRule>
  </conditionalFormatting>
  <conditionalFormatting sqref="A8:B10">
    <cfRule type="containsText" dxfId="1109" priority="693" operator="containsText" text="ROTA">
      <formula>NOT(ISERROR(SEARCH(("ROTA"),(#REF!))))</formula>
    </cfRule>
  </conditionalFormatting>
  <conditionalFormatting sqref="A8:B18 A20:B20">
    <cfRule type="containsText" dxfId="1108" priority="731" operator="containsText" text="ROTA">
      <formula>NOT(ISERROR(SEARCH(("ROTA"),(#REF!))))</formula>
    </cfRule>
  </conditionalFormatting>
  <conditionalFormatting sqref="A8:B18">
    <cfRule type="containsText" dxfId="1107" priority="802" operator="containsText" text="INATIVO">
      <formula>NOT(ISERROR(SEARCH(("INATIVO"),(#REF!))))</formula>
    </cfRule>
  </conditionalFormatting>
  <conditionalFormatting sqref="A8:B20">
    <cfRule type="containsText" dxfId="1106" priority="715" operator="containsText" text="INATIVO">
      <formula>NOT(ISERROR(SEARCH(("INATIVO"),(#REF!))))</formula>
    </cfRule>
  </conditionalFormatting>
  <conditionalFormatting sqref="A9:B10 A12:B12 A16:B18 A20:B20">
    <cfRule type="containsText" dxfId="1105" priority="705" operator="containsText" text="ROTA">
      <formula>NOT(ISERROR(SEARCH(("ROTA"),(#REF!))))</formula>
    </cfRule>
    <cfRule type="containsText" dxfId="1104" priority="728" operator="containsText" text="5X2">
      <formula>NOT(ISERROR(SEARCH(("5X2"),(#REF!))))</formula>
    </cfRule>
    <cfRule type="containsText" dxfId="1103" priority="730" operator="containsText" text="INATIVO">
      <formula>NOT(ISERROR(SEARCH(("INATIVO"),(#REF!))))</formula>
    </cfRule>
  </conditionalFormatting>
  <conditionalFormatting sqref="A9:B10 A12:B18 A20:B20">
    <cfRule type="containsText" dxfId="1102" priority="704" operator="containsText" text="INDISPONÍVEL">
      <formula>NOT(ISERROR(SEARCH(("INDISPONÍVEL"),(#REF!))))</formula>
    </cfRule>
  </conditionalFormatting>
  <conditionalFormatting sqref="A9:B10 A17:B20 A54:B55 C3:C67 E31:AO32 D31:D68 E33:AH57 D25:AH25 X27:X28 S2:S24 U2:U24 W2:W24 Y2:Y24 AA2:AA24 AC2:AC24 AE2:AE24 AG2:AG24 M3:R4 T3:T4 V3:V4 X3:X4 Z3:Z4 AB3:AB4 AD3:AD4 AF3:AF4 D3:L24 AH4 M5:Q24 T6:T7 V6:V7 X6:X7 Z6:Z7 AB6:AB7 AD6:AD7 AF6:AF7 AH6:AH7 R11:R12 T11:T14 V11:V14 X11:X14 Z11:Z14 AB11:AB14 AD11:AD14 AF11:AF14 AH11:AH14 R14 T20:T21 V20:V21 X20:X21 Z20:Z21 AB20:AB21 AD20:AD21 AF20:AF21 AH20:AH21 R21 D26:Q30 S26:S30 U26:U30 W26:W30 Y26:Y30 AA26:AA30 AC26:AC30 AE26:AE30 AG26:AG30 T27:T28 V27:V28 Z27:Z28 AB27:AB28 AD27:AD28 AF27:AF28 AH27:AH28 R58 Y58:Y60 E58:Q67">
    <cfRule type="containsText" dxfId="1101" priority="710" operator="containsText" text="INATIVO">
      <formula>NOT(ISERROR(SEARCH(("INATIVO"),(#REF!))))</formula>
    </cfRule>
  </conditionalFormatting>
  <conditionalFormatting sqref="A9:B12 A16:B20 A56:A57">
    <cfRule type="containsText" dxfId="1100" priority="733" operator="containsText" text="INDISPONÍVEL">
      <formula>NOT(ISERROR(SEARCH(("INDISPONÍVEL"),(#REF!))))</formula>
    </cfRule>
  </conditionalFormatting>
  <conditionalFormatting sqref="A12:B12 A16:B16">
    <cfRule type="containsText" dxfId="1099" priority="655" operator="containsText" text="INATIVO">
      <formula>NOT(ISERROR(SEARCH(("INATIVO"),(#REF!))))</formula>
    </cfRule>
  </conditionalFormatting>
  <conditionalFormatting sqref="A12:B18">
    <cfRule type="containsText" dxfId="1098" priority="701" operator="containsText" text="ROTA">
      <formula>NOT(ISERROR(SEARCH(("ROTA"),(#REF!))))</formula>
    </cfRule>
  </conditionalFormatting>
  <conditionalFormatting sqref="A12:B20 A9:B10">
    <cfRule type="containsText" dxfId="1097" priority="702" operator="containsText" text="ATIVO">
      <formula>NOT(ISERROR(SEARCH(("ATIVO"),(#REF!))))</formula>
    </cfRule>
  </conditionalFormatting>
  <conditionalFormatting sqref="A13:B13 A14">
    <cfRule type="containsText" dxfId="1096" priority="691" operator="containsText" text="INTEGRAÇÃO">
      <formula>NOT(ISERROR(SEARCH(("INTEGRAÇÃO"),(#REF!))))</formula>
    </cfRule>
  </conditionalFormatting>
  <conditionalFormatting sqref="A13:B13 A15:B15 A8:B8 A56:A57">
    <cfRule type="containsText" dxfId="1095" priority="685" operator="containsText" text="5X2">
      <formula>NOT(ISERROR(SEARCH(("5X2"),(#REF!))))</formula>
    </cfRule>
  </conditionalFormatting>
  <conditionalFormatting sqref="A13:B13 B14:B15">
    <cfRule type="containsText" dxfId="1094" priority="687" operator="containsText" text="ATIVO">
      <formula>NOT(ISERROR(SEARCH(("ATIVO"),(#REF!))))</formula>
    </cfRule>
  </conditionalFormatting>
  <conditionalFormatting sqref="A13:B13">
    <cfRule type="containsText" dxfId="1093" priority="678" operator="containsText" text="ROTA">
      <formula>NOT(ISERROR(SEARCH(("ROTA"),(#REF!))))</formula>
    </cfRule>
    <cfRule type="containsText" dxfId="1092" priority="681" operator="containsText" text="ROTA">
      <formula>NOT(ISERROR(SEARCH(("ROTA"),(#REF!))))</formula>
    </cfRule>
    <cfRule type="containsText" dxfId="1091" priority="682" operator="containsText" text="INATIVO">
      <formula>NOT(ISERROR(SEARCH(("INATIVO"),(#REF!))))</formula>
    </cfRule>
    <cfRule type="containsText" dxfId="1090" priority="683" operator="containsText" text="INATIVO">
      <formula>NOT(ISERROR(SEARCH(("INATIVO"),(#REF!))))</formula>
    </cfRule>
    <cfRule type="containsText" dxfId="1089" priority="690" operator="containsText" text="INATIVO">
      <formula>NOT(ISERROR(SEARCH(("INATIVO"),(#REF!))))</formula>
    </cfRule>
  </conditionalFormatting>
  <conditionalFormatting sqref="A14:B14 A11:B11 D33:H56 I33:AH57 E57:H57">
    <cfRule type="containsText" dxfId="1088" priority="695" operator="containsText" text="5X2">
      <formula>NOT(ISERROR(SEARCH(("5X2"),(#REF!))))</formula>
    </cfRule>
  </conditionalFormatting>
  <conditionalFormatting sqref="A16:B16 A19:B19 A8:B10 A12:B12">
    <cfRule type="containsText" dxfId="1087" priority="720" operator="containsText" text="INTEGRAÇÃO">
      <formula>NOT(ISERROR(SEARCH(("INTEGRAÇÃO"),(#REF!))))</formula>
    </cfRule>
  </conditionalFormatting>
  <conditionalFormatting sqref="A16:B16">
    <cfRule type="containsText" dxfId="1086" priority="662" operator="containsText" text="INTEGRAÇÃO">
      <formula>NOT(ISERROR(SEARCH(("INTEGRAÇÃO"),(#REF!))))</formula>
    </cfRule>
  </conditionalFormatting>
  <conditionalFormatting sqref="A16:B17">
    <cfRule type="containsText" dxfId="1085" priority="670" operator="containsText" text="ROTA">
      <formula>NOT(ISERROR(SEARCH(("ROTA"),(#REF!))))</formula>
    </cfRule>
    <cfRule type="cellIs" dxfId="1084" priority="673" operator="equal">
      <formula>"INDISPONIVEL"</formula>
    </cfRule>
    <cfRule type="containsText" dxfId="1083" priority="674" operator="containsText" text="INATIVO">
      <formula>NOT(ISERROR(SEARCH(("INATIVO"),(A16))))</formula>
    </cfRule>
  </conditionalFormatting>
  <conditionalFormatting sqref="A17:B17">
    <cfRule type="containsText" dxfId="1082" priority="654" operator="containsText" text="INDISPONÍVEL">
      <formula>NOT(ISERROR(SEARCH(("INDISPONÍVEL"),(#REF!))))</formula>
    </cfRule>
  </conditionalFormatting>
  <conditionalFormatting sqref="A17:B20 A9:A10 A11:B15 A16 A8:B8 A22:B22 A25:B30 A32:B32 D32 F32 H32 J32 L32 N32 P32 R32 T32 V32 X32 Z32 AB32 AD32 AF32 AH32 A34:B34 A38:B40 A42:B42 A33">
    <cfRule type="containsText" dxfId="1081" priority="735" operator="containsText" text="INTEGRAÇÃO">
      <formula>NOT(ISERROR(SEARCH(("INTEGRAÇÃO"),(#REF!))))</formula>
    </cfRule>
  </conditionalFormatting>
  <conditionalFormatting sqref="A18:B20">
    <cfRule type="containsText" dxfId="1080" priority="711" operator="containsText" text="INDISPONÍVEL">
      <formula>NOT(ISERROR(SEARCH(("INDISPONÍVEL"),(#REF!))))</formula>
    </cfRule>
    <cfRule type="containsText" dxfId="1079" priority="734" operator="containsText" text="ROTA">
      <formula>NOT(ISERROR(SEARCH(("ROTA"),(#REF!))))</formula>
    </cfRule>
    <cfRule type="cellIs" dxfId="1078" priority="739" operator="equal">
      <formula>"INDISPONIVEL"</formula>
    </cfRule>
    <cfRule type="containsText" dxfId="1077" priority="740" operator="containsText" text="INATIVO">
      <formula>NOT(ISERROR(SEARCH(("INATIVO"),(A18))))</formula>
    </cfRule>
  </conditionalFormatting>
  <conditionalFormatting sqref="A19:B19 A33 A56:A57">
    <cfRule type="containsText" dxfId="1076" priority="638" operator="containsText" text="ATIVO">
      <formula>NOT(ISERROR(SEARCH(("ATIVO"),(#REF!))))</formula>
    </cfRule>
  </conditionalFormatting>
  <conditionalFormatting sqref="A19:B19 A33 A22:B22 A24:B30 A32:B32 D32 F32 H32 J32 L32 N32 P32 R32 T32 V32 X32 Z32 AB32 AD32 AF32 AH32 A34:B34 A38:B40 A42:B42 A54:B55">
    <cfRule type="containsText" dxfId="1075" priority="660" operator="containsText" text="INDISPONÍVEL">
      <formula>NOT(ISERROR(SEARCH(("INDISPONÍVEL"),(#REF!))))</formula>
    </cfRule>
  </conditionalFormatting>
  <conditionalFormatting sqref="A19:B19">
    <cfRule type="containsText" dxfId="1074" priority="618" operator="containsText" text="INDISPONÍVEL">
      <formula>NOT(ISERROR(SEARCH(("INDISPONÍVEL"),(#REF!))))</formula>
    </cfRule>
    <cfRule type="containsText" dxfId="1073" priority="620" operator="containsText" text="5X2">
      <formula>NOT(ISERROR(SEARCH(("5X2"),(#REF!))))</formula>
    </cfRule>
    <cfRule type="containsText" dxfId="1072" priority="623" operator="containsText" text="INATIVO">
      <formula>NOT(ISERROR(SEARCH(("INATIVO"),(#REF!))))</formula>
    </cfRule>
    <cfRule type="containsText" dxfId="1071" priority="628" operator="containsText" text="INDISPONÍVEL">
      <formula>NOT(ISERROR(SEARCH(("INDISPONÍVEL"),(#REF!))))</formula>
    </cfRule>
    <cfRule type="containsText" dxfId="1070" priority="629" operator="containsText" text="ROTA">
      <formula>NOT(ISERROR(SEARCH(("ROTA"),(#REF!))))</formula>
    </cfRule>
    <cfRule type="containsText" dxfId="1069" priority="630" operator="containsText" text="INTEGRAÇÃO">
      <formula>NOT(ISERROR(SEARCH(("INTEGRAÇÃO"),(#REF!))))</formula>
    </cfRule>
    <cfRule type="containsText" dxfId="1068" priority="631" operator="containsText" text="INATIVO">
      <formula>NOT(ISERROR(SEARCH(("INATIVO"),(#REF!))))</formula>
    </cfRule>
    <cfRule type="containsText" dxfId="1067" priority="633" operator="containsText" text="5X2">
      <formula>NOT(ISERROR(SEARCH(("5X2"),(#REF!))))</formula>
    </cfRule>
    <cfRule type="containsText" dxfId="1066" priority="634" operator="containsText" text="INATIVO">
      <formula>NOT(ISERROR(SEARCH(("INATIVO"),(#REF!))))</formula>
    </cfRule>
    <cfRule type="containsText" dxfId="1065" priority="635" operator="containsText" text="INATIVO">
      <formula>NOT(ISERROR(SEARCH(("INATIVO"),(#REF!))))</formula>
    </cfRule>
    <cfRule type="containsText" dxfId="1064" priority="636" operator="containsText" text="ROTA">
      <formula>NOT(ISERROR(SEARCH(("ROTA"),(#REF!))))</formula>
    </cfRule>
    <cfRule type="containsText" dxfId="1063" priority="639" operator="containsText" text="INDISPONÍVEL">
      <formula>NOT(ISERROR(SEARCH(("INDISPONÍVEL"),(#REF!))))</formula>
    </cfRule>
    <cfRule type="containsText" dxfId="1062" priority="640" operator="containsText" text="ROTA">
      <formula>NOT(ISERROR(SEARCH(("ROTA"),(#REF!))))</formula>
    </cfRule>
    <cfRule type="containsText" dxfId="1061" priority="641" operator="containsText" text="INATIVO">
      <formula>NOT(ISERROR(SEARCH(("INATIVO"),(#REF!))))</formula>
    </cfRule>
    <cfRule type="containsText" dxfId="1060" priority="642" operator="containsText" text="ATIVO">
      <formula>NOT(ISERROR(SEARCH(("ATIVO"),(#REF!))))</formula>
    </cfRule>
    <cfRule type="containsText" dxfId="1059" priority="643" operator="containsText" text="5X2">
      <formula>NOT(ISERROR(SEARCH(("5X2"),(A19))))</formula>
    </cfRule>
    <cfRule type="containsText" dxfId="1058" priority="644" operator="containsText" text="INATIVO">
      <formula>NOT(ISERROR(SEARCH(("INATIVO"),(A19))))</formula>
    </cfRule>
    <cfRule type="containsText" dxfId="1057" priority="645" operator="containsText" text="ATIVO">
      <formula>NOT(ISERROR(SEARCH(("ATIVO"),(A19))))</formula>
    </cfRule>
    <cfRule type="containsText" dxfId="1056" priority="646" operator="containsText" text="INDISPONÍVEL">
      <formula>NOT(ISERROR(SEARCH(("INDISPONÍVEL"),(A19))))</formula>
    </cfRule>
    <cfRule type="containsText" dxfId="1055" priority="647" operator="containsText" text="ROTA">
      <formula>NOT(ISERROR(SEARCH(("ROTA"),(A19))))</formula>
    </cfRule>
    <cfRule type="containsText" dxfId="1054" priority="648" operator="containsText" text="INTEGRAÇÃO">
      <formula>NOT(ISERROR(SEARCH(("INTEGRAÇÃO"),(A19))))</formula>
    </cfRule>
    <cfRule type="containsText" dxfId="1053" priority="649" operator="containsText" text="ATIVO">
      <formula>NOT(ISERROR(SEARCH(("ATIVO"),(#REF!))))</formula>
    </cfRule>
    <cfRule type="cellIs" dxfId="1052" priority="650" operator="equal">
      <formula>"INDISPONIVEL"</formula>
    </cfRule>
    <cfRule type="containsText" dxfId="1051" priority="651" operator="containsText" text="INATIVO">
      <formula>NOT(ISERROR(SEARCH(("INATIVO"),(A19))))</formula>
    </cfRule>
    <cfRule type="containsText" dxfId="1050" priority="652" operator="containsText" text="INTEGRAÇÃO">
      <formula>NOT(ISERROR(SEARCH(("INTEGRAÇÃO"),(#REF!))))</formula>
    </cfRule>
    <cfRule type="containsText" dxfId="1049" priority="663" operator="containsText" text="INATIVO">
      <formula>NOT(ISERROR(SEARCH(("INATIVO"),(#REF!))))</formula>
    </cfRule>
    <cfRule type="containsText" dxfId="1048" priority="665" operator="containsText" text="5X2">
      <formula>NOT(ISERROR(SEARCH(("5X2"),(#REF!))))</formula>
    </cfRule>
    <cfRule type="containsText" dxfId="1047" priority="666" operator="containsText" text="INATIVO">
      <formula>NOT(ISERROR(SEARCH(("INATIVO"),(#REF!))))</formula>
    </cfRule>
    <cfRule type="containsText" dxfId="1046" priority="667" operator="containsText" text="INATIVO">
      <formula>NOT(ISERROR(SEARCH(("INATIVO"),(#REF!))))</formula>
    </cfRule>
    <cfRule type="containsText" dxfId="1045" priority="668" operator="containsText" text="ROTA">
      <formula>NOT(ISERROR(SEARCH(("ROTA"),(#REF!))))</formula>
    </cfRule>
    <cfRule type="containsText" dxfId="1044" priority="671" operator="containsText" text="INATIVO">
      <formula>NOT(ISERROR(SEARCH(("INATIVO"),(#REF!))))</formula>
    </cfRule>
    <cfRule type="containsText" dxfId="1043" priority="672" operator="containsText" text="ATIVO">
      <formula>NOT(ISERROR(SEARCH(("ATIVO"),(#REF!))))</formula>
    </cfRule>
  </conditionalFormatting>
  <conditionalFormatting sqref="A19:B20 A22:B22 A24:B30 A32:B32 D32 F32 H32 J32 L32 N32 P32 R32 T32 V32 X32 Z32 AB32 AD32 AF32 AH32 A33 A34:B34 A38:B40 A42:B42 A54:B55 A56:A57">
    <cfRule type="containsText" dxfId="1042" priority="661" operator="containsText" text="ROTA">
      <formula>NOT(ISERROR(SEARCH(("ROTA"),(#REF!))))</formula>
    </cfRule>
  </conditionalFormatting>
  <conditionalFormatting sqref="A20:B20">
    <cfRule type="containsText" dxfId="1041" priority="717" operator="containsText" text="ATIVO">
      <formula>NOT(ISERROR(SEARCH(("ATIVO"),(#REF!))))</formula>
    </cfRule>
    <cfRule type="containsText" dxfId="1040" priority="726" operator="containsText" text="INATIVO">
      <formula>NOT(ISERROR(SEARCH(("INATIVO"),(#REF!))))</formula>
    </cfRule>
    <cfRule type="containsText" dxfId="1039" priority="732" operator="containsText" text="INATIVO">
      <formula>NOT(ISERROR(SEARCH(("INATIVO"),(#REF!))))</formula>
    </cfRule>
    <cfRule type="containsText" dxfId="1038" priority="736" operator="containsText" text="INATIVO">
      <formula>NOT(ISERROR(SEARCH(("INATIVO"),(#REF!))))</formula>
    </cfRule>
    <cfRule type="containsText" dxfId="1037" priority="737" operator="containsText" text="ATIVO">
      <formula>NOT(ISERROR(SEARCH(("ATIVO"),(#REF!))))</formula>
    </cfRule>
  </conditionalFormatting>
  <conditionalFormatting sqref="A22:B22 A24:B30 A32:B32 D32 F32 H32 J32 L32 N32 P32 R32 T32 V32 X32 Z32 AB32 AD32 AF32 AH32 A33 A34:B34 A38:B42">
    <cfRule type="containsText" dxfId="1036" priority="594" operator="containsText" text="ATIVO">
      <formula>NOT(ISERROR(SEARCH(("ATIVO"),(#REF!))))</formula>
    </cfRule>
  </conditionalFormatting>
  <conditionalFormatting sqref="A22:B22 A24:B30 A32:B32 D32 F32 H32 J32 L32 N32 P32 R32 T32 V32 X32 Z32 AB32 AD32 AF32 AH32 A34:B34 A38:B40 A42:B42 A54:B55 A33 A56:A57">
    <cfRule type="containsText" dxfId="1035" priority="761" operator="containsText" text="INATIVO">
      <formula>NOT(ISERROR(SEARCH(("INATIVO"),(#REF!))))</formula>
    </cfRule>
  </conditionalFormatting>
  <conditionalFormatting sqref="A22:B22 A24:B30 A32:B32 F32 H32 J32 L32 N32 P32 R32 T32 V32 X32 Z32 AB32 AD32 AF32 AH32 A33 A34:B34 A38:B40 A42:B42 A54:B55">
    <cfRule type="containsText" dxfId="1034" priority="824" operator="containsText" text="INDISPONÍVEL">
      <formula>NOT(ISERROR(SEARCH(("INDISPONÍVEL"),(#REF!))))</formula>
    </cfRule>
  </conditionalFormatting>
  <conditionalFormatting sqref="A26:B26">
    <cfRule type="containsText" dxfId="1033" priority="218" operator="containsText" text="INTEGRAÇÃO">
      <formula>NOT(ISERROR(SEARCH(("INTEGRAÇÃO"),(#REF!))))</formula>
    </cfRule>
  </conditionalFormatting>
  <conditionalFormatting sqref="A34:B36 C31 C67 E68:AH68 A3:C30 A56:A57 A33 A2:AF2 E58:Q67 A61:C66 A38:B55 A1:AI1 R58 Y58:Y60 E3:AF30 AG2:AH30 D3:D68 A32:E32 E31:AO32 E33:AH57 C33:C61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8:B42 A22:B22 A25:B30 A32:B32 D32 F32 H32 J32 L32 N32 P32 R32 T32 V32 X32 Z32 AB32 AD32 AF32 AH32 A33 A34:B34">
    <cfRule type="containsText" dxfId="1032" priority="593" operator="containsText" text="INATIVO">
      <formula>NOT(ISERROR(SEARCH(("INATIVO"),(#REF!))))</formula>
    </cfRule>
  </conditionalFormatting>
  <conditionalFormatting sqref="A38:B42 A54:B55 A56:A57 A22:B22 A24:B30 A32:B32 D32 F32 H32 J32 L32 N32 P32 R32 T32 V32 X32 Z32 AB32 AD32 AF32 AH32 A33 A34:B34">
    <cfRule type="containsText" dxfId="1031" priority="602" operator="containsText" text="INATIVO">
      <formula>NOT(ISERROR(SEARCH(("INATIVO"),(#REF!))))</formula>
    </cfRule>
  </conditionalFormatting>
  <conditionalFormatting sqref="A41:B41">
    <cfRule type="containsText" dxfId="1030" priority="545" operator="containsText" text="INDISPONÍVEL">
      <formula>NOT(ISERROR(SEARCH(("INDISPONÍVEL"),(#REF!))))</formula>
    </cfRule>
    <cfRule type="containsText" dxfId="1029" priority="547" operator="containsText" text="5X2">
      <formula>NOT(ISERROR(SEARCH(("5X2"),(#REF!))))</formula>
    </cfRule>
    <cfRule type="containsText" dxfId="1028" priority="550" operator="containsText" text="INATIVO">
      <formula>NOT(ISERROR(SEARCH(("INATIVO"),(#REF!))))</formula>
    </cfRule>
    <cfRule type="containsText" dxfId="1027" priority="555" operator="containsText" text="INDISPONÍVEL">
      <formula>NOT(ISERROR(SEARCH(("INDISPONÍVEL"),(#REF!))))</formula>
    </cfRule>
    <cfRule type="containsText" dxfId="1026" priority="556" operator="containsText" text="ROTA">
      <formula>NOT(ISERROR(SEARCH(("ROTA"),(#REF!))))</formula>
    </cfRule>
    <cfRule type="containsText" dxfId="1025" priority="557" operator="containsText" text="INTEGRAÇÃO">
      <formula>NOT(ISERROR(SEARCH(("INTEGRAÇÃO"),(#REF!))))</formula>
    </cfRule>
    <cfRule type="containsText" dxfId="1024" priority="558" operator="containsText" text="INATIVO">
      <formula>NOT(ISERROR(SEARCH(("INATIVO"),(#REF!))))</formula>
    </cfRule>
    <cfRule type="containsText" dxfId="1023" priority="560" operator="containsText" text="5X2">
      <formula>NOT(ISERROR(SEARCH(("5X2"),(#REF!))))</formula>
    </cfRule>
    <cfRule type="containsText" dxfId="1022" priority="561" operator="containsText" text="INATIVO">
      <formula>NOT(ISERROR(SEARCH(("INATIVO"),(#REF!))))</formula>
    </cfRule>
    <cfRule type="containsText" dxfId="1021" priority="562" operator="containsText" text="INATIVO">
      <formula>NOT(ISERROR(SEARCH(("INATIVO"),(#REF!))))</formula>
    </cfRule>
    <cfRule type="containsText" dxfId="1020" priority="563" operator="containsText" text="ROTA">
      <formula>NOT(ISERROR(SEARCH(("ROTA"),(#REF!))))</formula>
    </cfRule>
    <cfRule type="containsText" dxfId="1019" priority="565" operator="containsText" text="ATIVO">
      <formula>NOT(ISERROR(SEARCH(("ATIVO"),(#REF!))))</formula>
    </cfRule>
    <cfRule type="containsText" dxfId="1018" priority="566" operator="containsText" text="INDISPONÍVEL">
      <formula>NOT(ISERROR(SEARCH(("INDISPONÍVEL"),(#REF!))))</formula>
    </cfRule>
    <cfRule type="containsText" dxfId="1017" priority="567" operator="containsText" text="ROTA">
      <formula>NOT(ISERROR(SEARCH(("ROTA"),(#REF!))))</formula>
    </cfRule>
    <cfRule type="containsText" dxfId="1016" priority="568" operator="containsText" text="INATIVO">
      <formula>NOT(ISERROR(SEARCH(("INATIVO"),(#REF!))))</formula>
    </cfRule>
    <cfRule type="containsText" dxfId="1015" priority="569" operator="containsText" text="ATIVO">
      <formula>NOT(ISERROR(SEARCH(("ATIVO"),(#REF!))))</formula>
    </cfRule>
    <cfRule type="containsText" dxfId="1014" priority="570" operator="containsText" text="5X2">
      <formula>NOT(ISERROR(SEARCH(("5X2"),(A41))))</formula>
    </cfRule>
    <cfRule type="containsText" dxfId="1013" priority="571" operator="containsText" text="INATIVO">
      <formula>NOT(ISERROR(SEARCH(("INATIVO"),(A41))))</formula>
    </cfRule>
    <cfRule type="containsText" dxfId="1012" priority="572" operator="containsText" text="ATIVO">
      <formula>NOT(ISERROR(SEARCH(("ATIVO"),(A41))))</formula>
    </cfRule>
    <cfRule type="containsText" dxfId="1011" priority="573" operator="containsText" text="INDISPONÍVEL">
      <formula>NOT(ISERROR(SEARCH(("INDISPONÍVEL"),(A41))))</formula>
    </cfRule>
    <cfRule type="containsText" dxfId="1010" priority="574" operator="containsText" text="ROTA">
      <formula>NOT(ISERROR(SEARCH(("ROTA"),(A41))))</formula>
    </cfRule>
    <cfRule type="containsText" dxfId="1009" priority="575" operator="containsText" text="INTEGRAÇÃO">
      <formula>NOT(ISERROR(SEARCH(("INTEGRAÇÃO"),(A41))))</formula>
    </cfRule>
    <cfRule type="containsText" dxfId="1008" priority="576" operator="containsText" text="ATIVO">
      <formula>NOT(ISERROR(SEARCH(("ATIVO"),(#REF!))))</formula>
    </cfRule>
    <cfRule type="cellIs" dxfId="1007" priority="577" operator="equal">
      <formula>"INDISPONIVEL"</formula>
    </cfRule>
    <cfRule type="containsText" dxfId="1006" priority="578" operator="containsText" text="INATIVO">
      <formula>NOT(ISERROR(SEARCH(("INATIVO"),(A41))))</formula>
    </cfRule>
    <cfRule type="containsText" dxfId="1005" priority="579" operator="containsText" text="INTEGRAÇÃO">
      <formula>NOT(ISERROR(SEARCH(("INTEGRAÇÃO"),(#REF!))))</formula>
    </cfRule>
    <cfRule type="containsText" dxfId="1004" priority="584" operator="containsText" text="INDISPONÍVEL">
      <formula>NOT(ISERROR(SEARCH(("INDISPONÍVEL"),(#REF!))))</formula>
    </cfRule>
    <cfRule type="containsText" dxfId="1003" priority="585" operator="containsText" text="ROTA">
      <formula>NOT(ISERROR(SEARCH(("ROTA"),(#REF!))))</formula>
    </cfRule>
    <cfRule type="containsText" dxfId="1002" priority="586" operator="containsText" text="INATIVO">
      <formula>NOT(ISERROR(SEARCH(("INATIVO"),(#REF!))))</formula>
    </cfRule>
    <cfRule type="containsText" dxfId="1001" priority="588" operator="containsText" text="5X2">
      <formula>NOT(ISERROR(SEARCH(("5X2"),(#REF!))))</formula>
    </cfRule>
    <cfRule type="containsText" dxfId="1000" priority="589" operator="containsText" text="INATIVO">
      <formula>NOT(ISERROR(SEARCH(("INATIVO"),(#REF!))))</formula>
    </cfRule>
    <cfRule type="containsText" dxfId="999" priority="590" operator="containsText" text="INATIVO">
      <formula>NOT(ISERROR(SEARCH(("INATIVO"),(#REF!))))</formula>
    </cfRule>
    <cfRule type="containsText" dxfId="998" priority="591" operator="containsText" text="ROTA">
      <formula>NOT(ISERROR(SEARCH(("ROTA"),(#REF!))))</formula>
    </cfRule>
    <cfRule type="containsText" dxfId="997" priority="598" operator="containsText" text="INATIVO">
      <formula>NOT(ISERROR(SEARCH(("INATIVO"),(#REF!))))</formula>
    </cfRule>
    <cfRule type="containsText" dxfId="996" priority="599" operator="containsText" text="INDISPONÍVEL">
      <formula>NOT(ISERROR(SEARCH(("INDISPONÍVEL"),(#REF!))))</formula>
    </cfRule>
    <cfRule type="containsText" dxfId="995" priority="603" operator="containsText" text="INATIVO">
      <formula>NOT(ISERROR(SEARCH(("INATIVO"),(#REF!))))</formula>
    </cfRule>
    <cfRule type="containsText" dxfId="994" priority="604" operator="containsText" text="5X2">
      <formula>NOT(ISERROR(SEARCH(("5X2"),(#REF!))))</formula>
    </cfRule>
    <cfRule type="containsText" dxfId="993" priority="606" operator="containsText" text="INDISPONÍVEL">
      <formula>NOT(ISERROR(SEARCH(("INDISPONÍVEL"),(#REF!))))</formula>
    </cfRule>
    <cfRule type="containsText" dxfId="992" priority="607" operator="containsText" text="ROTA">
      <formula>NOT(ISERROR(SEARCH(("ROTA"),(#REF!))))</formula>
    </cfRule>
    <cfRule type="containsText" dxfId="991" priority="608" operator="containsText" text="INTEGRAÇÃO">
      <formula>NOT(ISERROR(SEARCH(("INTEGRAÇÃO"),(#REF!))))</formula>
    </cfRule>
    <cfRule type="containsText" dxfId="990" priority="609" operator="containsText" text="5X2">
      <formula>NOT(ISERROR(SEARCH(("5X2"),(A41))))</formula>
    </cfRule>
    <cfRule type="containsText" dxfId="989" priority="610" operator="containsText" text="INATIVO">
      <formula>NOT(ISERROR(SEARCH(("INATIVO"),(A41))))</formula>
    </cfRule>
    <cfRule type="containsText" dxfId="988" priority="611" operator="containsText" text="ATIVO">
      <formula>NOT(ISERROR(SEARCH(("ATIVO"),(A41))))</formula>
    </cfRule>
    <cfRule type="containsText" dxfId="987" priority="612" operator="containsText" text="INDISPONÍVEL">
      <formula>NOT(ISERROR(SEARCH(("INDISPONÍVEL"),(A41))))</formula>
    </cfRule>
    <cfRule type="containsText" dxfId="986" priority="613" operator="containsText" text="ROTA">
      <formula>NOT(ISERROR(SEARCH(("ROTA"),(A41))))</formula>
    </cfRule>
    <cfRule type="containsText" dxfId="985" priority="614" operator="containsText" text="INTEGRAÇÃO">
      <formula>NOT(ISERROR(SEARCH(("INTEGRAÇÃO"),(A41))))</formula>
    </cfRule>
    <cfRule type="cellIs" dxfId="984" priority="615" operator="equal">
      <formula>"INDISPONIVEL"</formula>
    </cfRule>
    <cfRule type="containsText" dxfId="983" priority="616" operator="containsText" text="INATIVO">
      <formula>NOT(ISERROR(SEARCH(("INATIVO"),(A41))))</formula>
    </cfRule>
    <cfRule type="containsText" dxfId="982" priority="617" operator="containsText" text="INTEGRAÇÃO">
      <formula>NOT(ISERROR(SEARCH(("INTEGRAÇÃO"),(#REF!))))</formula>
    </cfRule>
  </conditionalFormatting>
  <conditionalFormatting sqref="A41:B42 A25:B28 A30:B30 A34:B34">
    <cfRule type="containsText" dxfId="981" priority="605" operator="containsText" text="INTEGRAÇÃO">
      <formula>NOT(ISERROR(SEARCH(("INTEGRAÇÃO"),(#REF!))))</formula>
    </cfRule>
  </conditionalFormatting>
  <conditionalFormatting sqref="A43:B46">
    <cfRule type="containsText" dxfId="980" priority="475" operator="containsText" text="5X2">
      <formula>NOT(ISERROR(SEARCH(("5X2"),(#REF!))))</formula>
    </cfRule>
    <cfRule type="containsText" dxfId="979" priority="478" operator="containsText" text="INATIVO">
      <formula>NOT(ISERROR(SEARCH(("INATIVO"),(#REF!))))</formula>
    </cfRule>
    <cfRule type="containsText" dxfId="978" priority="483" operator="containsText" text="INDISPONÍVEL">
      <formula>NOT(ISERROR(SEARCH(("INDISPONÍVEL"),(#REF!))))</formula>
    </cfRule>
    <cfRule type="containsText" dxfId="977" priority="484" operator="containsText" text="ROTA">
      <formula>NOT(ISERROR(SEARCH(("ROTA"),(#REF!))))</formula>
    </cfRule>
    <cfRule type="containsText" dxfId="976" priority="485" operator="containsText" text="INTEGRAÇÃO">
      <formula>NOT(ISERROR(SEARCH(("INTEGRAÇÃO"),(#REF!))))</formula>
    </cfRule>
    <cfRule type="containsText" dxfId="975" priority="486" operator="containsText" text="INATIVO">
      <formula>NOT(ISERROR(SEARCH(("INATIVO"),(#REF!))))</formula>
    </cfRule>
    <cfRule type="containsText" dxfId="974" priority="488" operator="containsText" text="5X2">
      <formula>NOT(ISERROR(SEARCH(("5X2"),(#REF!))))</formula>
    </cfRule>
    <cfRule type="containsText" dxfId="973" priority="489" operator="containsText" text="INATIVO">
      <formula>NOT(ISERROR(SEARCH(("INATIVO"),(#REF!))))</formula>
    </cfRule>
    <cfRule type="containsText" dxfId="972" priority="490" operator="containsText" text="INATIVO">
      <formula>NOT(ISERROR(SEARCH(("INATIVO"),(#REF!))))</formula>
    </cfRule>
    <cfRule type="containsText" dxfId="971" priority="491" operator="containsText" text="ROTA">
      <formula>NOT(ISERROR(SEARCH(("ROTA"),(#REF!))))</formula>
    </cfRule>
    <cfRule type="containsText" dxfId="970" priority="493" operator="containsText" text="ATIVO">
      <formula>NOT(ISERROR(SEARCH(("ATIVO"),(#REF!))))</formula>
    </cfRule>
    <cfRule type="containsText" dxfId="969" priority="494" operator="containsText" text="INDISPONÍVEL">
      <formula>NOT(ISERROR(SEARCH(("INDISPONÍVEL"),(#REF!))))</formula>
    </cfRule>
    <cfRule type="containsText" dxfId="968" priority="495" operator="containsText" text="ROTA">
      <formula>NOT(ISERROR(SEARCH(("ROTA"),(#REF!))))</formula>
    </cfRule>
    <cfRule type="containsText" dxfId="967" priority="496" operator="containsText" text="INATIVO">
      <formula>NOT(ISERROR(SEARCH(("INATIVO"),(#REF!))))</formula>
    </cfRule>
    <cfRule type="containsText" dxfId="966" priority="497" operator="containsText" text="ATIVO">
      <formula>NOT(ISERROR(SEARCH(("ATIVO"),(#REF!))))</formula>
    </cfRule>
    <cfRule type="containsText" dxfId="965" priority="498" operator="containsText" text="5X2">
      <formula>NOT(ISERROR(SEARCH(("5X2"),(A43))))</formula>
    </cfRule>
    <cfRule type="containsText" dxfId="964" priority="499" operator="containsText" text="INATIVO">
      <formula>NOT(ISERROR(SEARCH(("INATIVO"),(A43))))</formula>
    </cfRule>
    <cfRule type="containsText" dxfId="963" priority="500" operator="containsText" text="ATIVO">
      <formula>NOT(ISERROR(SEARCH(("ATIVO"),(A43))))</formula>
    </cfRule>
    <cfRule type="containsText" dxfId="962" priority="501" operator="containsText" text="INDISPONÍVEL">
      <formula>NOT(ISERROR(SEARCH(("INDISPONÍVEL"),(A43))))</formula>
    </cfRule>
    <cfRule type="containsText" dxfId="961" priority="502" operator="containsText" text="ROTA">
      <formula>NOT(ISERROR(SEARCH(("ROTA"),(A43))))</formula>
    </cfRule>
    <cfRule type="containsText" dxfId="960" priority="503" operator="containsText" text="INTEGRAÇÃO">
      <formula>NOT(ISERROR(SEARCH(("INTEGRAÇÃO"),(A43))))</formula>
    </cfRule>
    <cfRule type="containsText" dxfId="959" priority="504" operator="containsText" text="ATIVO">
      <formula>NOT(ISERROR(SEARCH(("ATIVO"),(#REF!))))</formula>
    </cfRule>
    <cfRule type="cellIs" dxfId="958" priority="505" operator="equal">
      <formula>"INDISPONIVEL"</formula>
    </cfRule>
    <cfRule type="containsText" dxfId="957" priority="506" operator="containsText" text="INATIVO">
      <formula>NOT(ISERROR(SEARCH(("INATIVO"),(A43))))</formula>
    </cfRule>
    <cfRule type="containsText" dxfId="956" priority="507" operator="containsText" text="INTEGRAÇÃO">
      <formula>NOT(ISERROR(SEARCH(("INTEGRAÇÃO"),(#REF!))))</formula>
    </cfRule>
    <cfRule type="containsText" dxfId="955" priority="512" operator="containsText" text="INDISPONÍVEL">
      <formula>NOT(ISERROR(SEARCH(("INDISPONÍVEL"),(#REF!))))</formula>
    </cfRule>
    <cfRule type="containsText" dxfId="954" priority="513" operator="containsText" text="ROTA">
      <formula>NOT(ISERROR(SEARCH(("ROTA"),(#REF!))))</formula>
    </cfRule>
    <cfRule type="containsText" dxfId="953" priority="514" operator="containsText" text="INATIVO">
      <formula>NOT(ISERROR(SEARCH(("INATIVO"),(#REF!))))</formula>
    </cfRule>
    <cfRule type="containsText" dxfId="952" priority="516" operator="containsText" text="5X2">
      <formula>NOT(ISERROR(SEARCH(("5X2"),(#REF!))))</formula>
    </cfRule>
    <cfRule type="containsText" dxfId="951" priority="517" operator="containsText" text="INATIVO">
      <formula>NOT(ISERROR(SEARCH(("INATIVO"),(#REF!))))</formula>
    </cfRule>
    <cfRule type="containsText" dxfId="950" priority="518" operator="containsText" text="INATIVO">
      <formula>NOT(ISERROR(SEARCH(("INATIVO"),(#REF!))))</formula>
    </cfRule>
    <cfRule type="containsText" dxfId="949" priority="519" operator="containsText" text="ROTA">
      <formula>NOT(ISERROR(SEARCH(("ROTA"),(#REF!))))</formula>
    </cfRule>
    <cfRule type="containsText" dxfId="948" priority="521" operator="containsText" text="INATIVO">
      <formula>NOT(ISERROR(SEARCH(("INATIVO"),(#REF!))))</formula>
    </cfRule>
    <cfRule type="containsText" dxfId="947" priority="522" operator="containsText" text="ATIVO">
      <formula>NOT(ISERROR(SEARCH(("ATIVO"),(#REF!))))</formula>
    </cfRule>
    <cfRule type="containsText" dxfId="946" priority="525" operator="containsText" text="INATIVO">
      <formula>NOT(ISERROR(SEARCH(("INATIVO"),(#REF!))))</formula>
    </cfRule>
    <cfRule type="containsText" dxfId="945" priority="526" operator="containsText" text="INDISPONÍVEL">
      <formula>NOT(ISERROR(SEARCH(("INDISPONÍVEL"),(#REF!))))</formula>
    </cfRule>
    <cfRule type="containsText" dxfId="944" priority="529" operator="containsText" text="INATIVO">
      <formula>NOT(ISERROR(SEARCH(("INATIVO"),(#REF!))))</formula>
    </cfRule>
    <cfRule type="containsText" dxfId="943" priority="530" operator="containsText" text="INATIVO">
      <formula>NOT(ISERROR(SEARCH(("INATIVO"),(#REF!))))</formula>
    </cfRule>
    <cfRule type="containsText" dxfId="942" priority="531" operator="containsText" text="5X2">
      <formula>NOT(ISERROR(SEARCH(("5X2"),(#REF!))))</formula>
    </cfRule>
    <cfRule type="containsText" dxfId="941" priority="533" operator="containsText" text="INDISPONÍVEL">
      <formula>NOT(ISERROR(SEARCH(("INDISPONÍVEL"),(#REF!))))</formula>
    </cfRule>
    <cfRule type="containsText" dxfId="940" priority="534" operator="containsText" text="ROTA">
      <formula>NOT(ISERROR(SEARCH(("ROTA"),(#REF!))))</formula>
    </cfRule>
    <cfRule type="containsText" dxfId="939" priority="535" operator="containsText" text="INTEGRAÇÃO">
      <formula>NOT(ISERROR(SEARCH(("INTEGRAÇÃO"),(#REF!))))</formula>
    </cfRule>
    <cfRule type="containsText" dxfId="938" priority="536" operator="containsText" text="5X2">
      <formula>NOT(ISERROR(SEARCH(("5X2"),(A43))))</formula>
    </cfRule>
    <cfRule type="containsText" dxfId="937" priority="537" operator="containsText" text="INATIVO">
      <formula>NOT(ISERROR(SEARCH(("INATIVO"),(A43))))</formula>
    </cfRule>
    <cfRule type="containsText" dxfId="936" priority="538" operator="containsText" text="ATIVO">
      <formula>NOT(ISERROR(SEARCH(("ATIVO"),(A43))))</formula>
    </cfRule>
    <cfRule type="containsText" dxfId="935" priority="539" operator="containsText" text="INDISPONÍVEL">
      <formula>NOT(ISERROR(SEARCH(("INDISPONÍVEL"),(A43))))</formula>
    </cfRule>
    <cfRule type="containsText" dxfId="934" priority="540" operator="containsText" text="ROTA">
      <formula>NOT(ISERROR(SEARCH(("ROTA"),(A43))))</formula>
    </cfRule>
    <cfRule type="containsText" dxfId="933" priority="541" operator="containsText" text="INTEGRAÇÃO">
      <formula>NOT(ISERROR(SEARCH(("INTEGRAÇÃO"),(A43))))</formula>
    </cfRule>
    <cfRule type="cellIs" dxfId="932" priority="542" operator="equal">
      <formula>"INDISPONIVEL"</formula>
    </cfRule>
    <cfRule type="containsText" dxfId="931" priority="543" operator="containsText" text="INATIVO">
      <formula>NOT(ISERROR(SEARCH(("INATIVO"),(A43))))</formula>
    </cfRule>
    <cfRule type="containsText" dxfId="930" priority="544" operator="containsText" text="INTEGRAÇÃO">
      <formula>NOT(ISERROR(SEARCH(("INTEGRAÇÃO"),(#REF!))))</formula>
    </cfRule>
  </conditionalFormatting>
  <conditionalFormatting sqref="A43:B48 A50:B53">
    <cfRule type="containsText" dxfId="929" priority="455" operator="containsText" text="INDISPONÍVEL">
      <formula>NOT(ISERROR(SEARCH(("INDISPONÍVEL"),(#REF!))))</formula>
    </cfRule>
  </conditionalFormatting>
  <conditionalFormatting sqref="A43:B48 A50:B55 D32 F32 H32 J32 L32 N32 P32 R32 T32 V32 X32 Z32 AB32 AD32 AF32 AH32 A22:B22 A24:B24 A29:B30 A32:B32 A33 A38:B40 A56:A57">
    <cfRule type="containsText" dxfId="928" priority="532" operator="containsText" text="INTEGRAÇÃO">
      <formula>NOT(ISERROR(SEARCH(("INTEGRAÇÃO"),(#REF!))))</formula>
    </cfRule>
  </conditionalFormatting>
  <conditionalFormatting sqref="A47:B48 A50:B53">
    <cfRule type="containsText" dxfId="927" priority="408" operator="containsText" text="INATIVO">
      <formula>NOT(ISERROR(SEARCH(("INATIVO"),(#REF!))))</formula>
    </cfRule>
    <cfRule type="containsText" dxfId="926" priority="413" operator="containsText" text="INDISPONÍVEL">
      <formula>NOT(ISERROR(SEARCH(("INDISPONÍVEL"),(#REF!))))</formula>
    </cfRule>
    <cfRule type="containsText" dxfId="925" priority="414" operator="containsText" text="ROTA">
      <formula>NOT(ISERROR(SEARCH(("ROTA"),(#REF!))))</formula>
    </cfRule>
    <cfRule type="containsText" dxfId="924" priority="415" operator="containsText" text="INTEGRAÇÃO">
      <formula>NOT(ISERROR(SEARCH(("INTEGRAÇÃO"),(#REF!))))</formula>
    </cfRule>
    <cfRule type="containsText" dxfId="923" priority="416" operator="containsText" text="INATIVO">
      <formula>NOT(ISERROR(SEARCH(("INATIVO"),(#REF!))))</formula>
    </cfRule>
    <cfRule type="containsText" dxfId="922" priority="418" operator="containsText" text="5X2">
      <formula>NOT(ISERROR(SEARCH(("5X2"),(#REF!))))</formula>
    </cfRule>
    <cfRule type="containsText" dxfId="921" priority="419" operator="containsText" text="INATIVO">
      <formula>NOT(ISERROR(SEARCH(("INATIVO"),(#REF!))))</formula>
    </cfRule>
    <cfRule type="containsText" dxfId="920" priority="420" operator="containsText" text="INATIVO">
      <formula>NOT(ISERROR(SEARCH(("INATIVO"),(#REF!))))</formula>
    </cfRule>
    <cfRule type="containsText" dxfId="919" priority="421" operator="containsText" text="ROTA">
      <formula>NOT(ISERROR(SEARCH(("ROTA"),(#REF!))))</formula>
    </cfRule>
    <cfRule type="containsText" dxfId="918" priority="423" operator="containsText" text="ATIVO">
      <formula>NOT(ISERROR(SEARCH(("ATIVO"),(#REF!))))</formula>
    </cfRule>
    <cfRule type="containsText" dxfId="917" priority="424" operator="containsText" text="INDISPONÍVEL">
      <formula>NOT(ISERROR(SEARCH(("INDISPONÍVEL"),(#REF!))))</formula>
    </cfRule>
    <cfRule type="containsText" dxfId="916" priority="425" operator="containsText" text="ROTA">
      <formula>NOT(ISERROR(SEARCH(("ROTA"),(#REF!))))</formula>
    </cfRule>
    <cfRule type="containsText" dxfId="915" priority="426" operator="containsText" text="INATIVO">
      <formula>NOT(ISERROR(SEARCH(("INATIVO"),(#REF!))))</formula>
    </cfRule>
    <cfRule type="containsText" dxfId="914" priority="427" operator="containsText" text="ATIVO">
      <formula>NOT(ISERROR(SEARCH(("ATIVO"),(#REF!))))</formula>
    </cfRule>
    <cfRule type="containsText" dxfId="913" priority="428" operator="containsText" text="5X2">
      <formula>NOT(ISERROR(SEARCH(("5X2"),(A47))))</formula>
    </cfRule>
    <cfRule type="containsText" dxfId="912" priority="429" operator="containsText" text="INATIVO">
      <formula>NOT(ISERROR(SEARCH(("INATIVO"),(A47))))</formula>
    </cfRule>
    <cfRule type="containsText" dxfId="911" priority="430" operator="containsText" text="ATIVO">
      <formula>NOT(ISERROR(SEARCH(("ATIVO"),(A47))))</formula>
    </cfRule>
    <cfRule type="containsText" dxfId="910" priority="431" operator="containsText" text="INDISPONÍVEL">
      <formula>NOT(ISERROR(SEARCH(("INDISPONÍVEL"),(A47))))</formula>
    </cfRule>
    <cfRule type="containsText" dxfId="909" priority="432" operator="containsText" text="ROTA">
      <formula>NOT(ISERROR(SEARCH(("ROTA"),(A47))))</formula>
    </cfRule>
    <cfRule type="containsText" dxfId="908" priority="433" operator="containsText" text="INTEGRAÇÃO">
      <formula>NOT(ISERROR(SEARCH(("INTEGRAÇÃO"),(A47))))</formula>
    </cfRule>
    <cfRule type="containsText" dxfId="907" priority="434" operator="containsText" text="ATIVO">
      <formula>NOT(ISERROR(SEARCH(("ATIVO"),(#REF!))))</formula>
    </cfRule>
    <cfRule type="cellIs" dxfId="906" priority="435" operator="equal">
      <formula>"INDISPONIVEL"</formula>
    </cfRule>
    <cfRule type="containsText" dxfId="905" priority="436" operator="containsText" text="INATIVO">
      <formula>NOT(ISERROR(SEARCH(("INATIVO"),(A47))))</formula>
    </cfRule>
    <cfRule type="containsText" dxfId="904" priority="437" operator="containsText" text="INTEGRAÇÃO">
      <formula>NOT(ISERROR(SEARCH(("INTEGRAÇÃO"),(#REF!))))</formula>
    </cfRule>
    <cfRule type="containsText" dxfId="903" priority="442" operator="containsText" text="INDISPONÍVEL">
      <formula>NOT(ISERROR(SEARCH(("INDISPONÍVEL"),(#REF!))))</formula>
    </cfRule>
    <cfRule type="containsText" dxfId="902" priority="443" operator="containsText" text="ROTA">
      <formula>NOT(ISERROR(SEARCH(("ROTA"),(#REF!))))</formula>
    </cfRule>
    <cfRule type="containsText" dxfId="901" priority="444" operator="containsText" text="INATIVO">
      <formula>NOT(ISERROR(SEARCH(("INATIVO"),(#REF!))))</formula>
    </cfRule>
    <cfRule type="containsText" dxfId="900" priority="446" operator="containsText" text="5X2">
      <formula>NOT(ISERROR(SEARCH(("5X2"),(#REF!))))</formula>
    </cfRule>
    <cfRule type="containsText" dxfId="899" priority="447" operator="containsText" text="INATIVO">
      <formula>NOT(ISERROR(SEARCH(("INATIVO"),(#REF!))))</formula>
    </cfRule>
    <cfRule type="containsText" dxfId="898" priority="448" operator="containsText" text="INATIVO">
      <formula>NOT(ISERROR(SEARCH(("INATIVO"),(#REF!))))</formula>
    </cfRule>
    <cfRule type="containsText" dxfId="897" priority="449" operator="containsText" text="ROTA">
      <formula>NOT(ISERROR(SEARCH(("ROTA"),(#REF!))))</formula>
    </cfRule>
    <cfRule type="containsText" dxfId="896" priority="451" operator="containsText" text="INATIVO">
      <formula>NOT(ISERROR(SEARCH(("INATIVO"),(#REF!))))</formula>
    </cfRule>
    <cfRule type="containsText" dxfId="895" priority="452" operator="containsText" text="ATIVO">
      <formula>NOT(ISERROR(SEARCH(("ATIVO"),(#REF!))))</formula>
    </cfRule>
    <cfRule type="containsText" dxfId="894" priority="454" operator="containsText" text="INATIVO">
      <formula>NOT(ISERROR(SEARCH(("INATIVO"),(#REF!))))</formula>
    </cfRule>
    <cfRule type="containsText" dxfId="893" priority="459" operator="containsText" text="INATIVO">
      <formula>NOT(ISERROR(SEARCH(("INATIVO"),(#REF!))))</formula>
    </cfRule>
    <cfRule type="containsText" dxfId="892" priority="460" operator="containsText" text="INATIVO">
      <formula>NOT(ISERROR(SEARCH(("INATIVO"),(#REF!))))</formula>
    </cfRule>
    <cfRule type="containsText" dxfId="891" priority="461" operator="containsText" text="5X2">
      <formula>NOT(ISERROR(SEARCH(("5X2"),(#REF!))))</formula>
    </cfRule>
    <cfRule type="containsText" dxfId="890" priority="462" operator="containsText" text="INDISPONÍVEL">
      <formula>NOT(ISERROR(SEARCH(("INDISPONÍVEL"),(#REF!))))</formula>
    </cfRule>
    <cfRule type="containsText" dxfId="889" priority="463" operator="containsText" text="ROTA">
      <formula>NOT(ISERROR(SEARCH(("ROTA"),(#REF!))))</formula>
    </cfRule>
    <cfRule type="containsText" dxfId="888" priority="464" operator="containsText" text="INTEGRAÇÃO">
      <formula>NOT(ISERROR(SEARCH(("INTEGRAÇÃO"),(#REF!))))</formula>
    </cfRule>
    <cfRule type="containsText" dxfId="887" priority="465" operator="containsText" text="5X2">
      <formula>NOT(ISERROR(SEARCH(("5X2"),(A47))))</formula>
    </cfRule>
    <cfRule type="containsText" dxfId="886" priority="466" operator="containsText" text="INATIVO">
      <formula>NOT(ISERROR(SEARCH(("INATIVO"),(A47))))</formula>
    </cfRule>
    <cfRule type="containsText" dxfId="885" priority="467" operator="containsText" text="ATIVO">
      <formula>NOT(ISERROR(SEARCH(("ATIVO"),(A47))))</formula>
    </cfRule>
    <cfRule type="containsText" dxfId="884" priority="468" operator="containsText" text="INDISPONÍVEL">
      <formula>NOT(ISERROR(SEARCH(("INDISPONÍVEL"),(A47))))</formula>
    </cfRule>
    <cfRule type="containsText" dxfId="883" priority="469" operator="containsText" text="ROTA">
      <formula>NOT(ISERROR(SEARCH(("ROTA"),(A47))))</formula>
    </cfRule>
    <cfRule type="containsText" dxfId="882" priority="470" operator="containsText" text="INTEGRAÇÃO">
      <formula>NOT(ISERROR(SEARCH(("INTEGRAÇÃO"),(A47))))</formula>
    </cfRule>
    <cfRule type="cellIs" dxfId="881" priority="471" operator="equal">
      <formula>"INDISPONIVEL"</formula>
    </cfRule>
    <cfRule type="containsText" dxfId="880" priority="472" operator="containsText" text="INATIVO">
      <formula>NOT(ISERROR(SEARCH(("INATIVO"),(A47))))</formula>
    </cfRule>
    <cfRule type="containsText" dxfId="879" priority="473" operator="containsText" text="INTEGRAÇÃO">
      <formula>NOT(ISERROR(SEARCH(("INTEGRAÇÃO"),(#REF!))))</formula>
    </cfRule>
  </conditionalFormatting>
  <conditionalFormatting sqref="A47:B53">
    <cfRule type="containsText" dxfId="878" priority="29" operator="containsText" text="INDISPONÍVEL">
      <formula>NOT(ISERROR(SEARCH(("INDISPONÍVEL"),(#REF!))))</formula>
    </cfRule>
    <cfRule type="containsText" dxfId="877" priority="31" operator="containsText" text="5X2">
      <formula>NOT(ISERROR(SEARCH(("5X2"),(#REF!))))</formula>
    </cfRule>
  </conditionalFormatting>
  <conditionalFormatting sqref="A49:B49">
    <cfRule type="containsText" dxfId="876" priority="1" operator="containsText" text="INTEGRAÇÃO">
      <formula>NOT(ISERROR(SEARCH(("INTEGRAÇÃO"),(#REF!))))</formula>
    </cfRule>
    <cfRule type="containsText" dxfId="875" priority="2" operator="containsText" text="INATIVO">
      <formula>NOT(ISERROR(SEARCH(("INATIVO"),(#REF!))))</formula>
    </cfRule>
    <cfRule type="containsText" dxfId="874" priority="3" operator="containsText" text="ATIVO">
      <formula>NOT(ISERROR(SEARCH(("ATIVO"),(#REF!))))</formula>
    </cfRule>
    <cfRule type="containsText" dxfId="873" priority="6" operator="containsText" text="INATIVO">
      <formula>NOT(ISERROR(SEARCH(("INATIVO"),(#REF!))))</formula>
    </cfRule>
    <cfRule type="containsText" dxfId="872" priority="7" operator="containsText" text="ATIVO">
      <formula>NOT(ISERROR(SEARCH(("ATIVO"),(#REF!))))</formula>
    </cfRule>
    <cfRule type="containsText" dxfId="871" priority="9" operator="containsText" text="INDISPONÍVEL">
      <formula>NOT(ISERROR(SEARCH(("INDISPONÍVEL"),(#REF!))))</formula>
    </cfRule>
    <cfRule type="containsText" dxfId="870" priority="10" operator="containsText" text="ROTA">
      <formula>NOT(ISERROR(SEARCH(("ROTA"),(#REF!))))</formula>
    </cfRule>
    <cfRule type="containsText" dxfId="869" priority="12" operator="containsText" text="INATIVO">
      <formula>NOT(ISERROR(SEARCH(("INATIVO"),(#REF!))))</formula>
    </cfRule>
    <cfRule type="containsText" dxfId="868" priority="14" operator="containsText" text="INTEGRAÇÃO">
      <formula>NOT(ISERROR(SEARCH(("INTEGRAÇÃO"),(#REF!))))</formula>
    </cfRule>
    <cfRule type="containsText" dxfId="867" priority="16" operator="containsText" text="5X2">
      <formula>NOT(ISERROR(SEARCH(("5X2"),(#REF!))))</formula>
    </cfRule>
    <cfRule type="containsText" dxfId="866" priority="18" operator="containsText" text="INATIVO">
      <formula>NOT(ISERROR(SEARCH(("INATIVO"),(#REF!))))</formula>
    </cfRule>
    <cfRule type="containsText" dxfId="865" priority="20" operator="containsText" text="ROTA">
      <formula>NOT(ISERROR(SEARCH(("ROTA"),(#REF!))))</formula>
    </cfRule>
    <cfRule type="containsText" dxfId="864" priority="21" operator="containsText" text="INATIVO">
      <formula>NOT(ISERROR(SEARCH(("INATIVO"),(#REF!))))</formula>
    </cfRule>
    <cfRule type="containsText" dxfId="863" priority="22" operator="containsText" text="INTEGRAÇÃO">
      <formula>NOT(ISERROR(SEARCH(("INTEGRAÇÃO"),(#REF!))))</formula>
    </cfRule>
    <cfRule type="containsText" dxfId="862" priority="23" operator="containsText" text="INDISPONÍVEL">
      <formula>NOT(ISERROR(SEARCH(("INDISPONÍVEL"),(#REF!))))</formula>
    </cfRule>
    <cfRule type="containsText" dxfId="861" priority="25" operator="containsText" text="5X2">
      <formula>NOT(ISERROR(SEARCH(("5X2"),(#REF!))))</formula>
    </cfRule>
    <cfRule type="containsText" dxfId="860" priority="26" operator="containsText" text="INATIVO">
      <formula>NOT(ISERROR(SEARCH(("INATIVO"),(#REF!))))</formula>
    </cfRule>
    <cfRule type="containsText" dxfId="859" priority="28" operator="containsText" text="INATIVO">
      <formula>NOT(ISERROR(SEARCH(("INATIVO"),(#REF!))))</formula>
    </cfRule>
    <cfRule type="containsText" dxfId="858" priority="33" operator="containsText" text="ROTA">
      <formula>NOT(ISERROR(SEARCH(("ROTA"),(#REF!))))</formula>
    </cfRule>
    <cfRule type="containsText" dxfId="857" priority="34" operator="containsText" text="INATIVO">
      <formula>NOT(ISERROR(SEARCH(("INATIVO"),(#REF!))))</formula>
    </cfRule>
    <cfRule type="containsText" dxfId="856" priority="35" operator="containsText" text="ATIVO">
      <formula>NOT(ISERROR(SEARCH(("ATIVO"),(#REF!))))</formula>
    </cfRule>
    <cfRule type="containsText" dxfId="855" priority="36" operator="containsText" text="5X2">
      <formula>NOT(ISERROR(SEARCH(("5X2"),(A49))))</formula>
    </cfRule>
    <cfRule type="containsText" dxfId="854" priority="37" operator="containsText" text="INATIVO">
      <formula>NOT(ISERROR(SEARCH(("INATIVO"),(A49))))</formula>
    </cfRule>
    <cfRule type="containsText" dxfId="853" priority="38" operator="containsText" text="ATIVO">
      <formula>NOT(ISERROR(SEARCH(("ATIVO"),(A49))))</formula>
    </cfRule>
    <cfRule type="containsText" dxfId="852" priority="39" operator="containsText" text="INDISPONÍVEL">
      <formula>NOT(ISERROR(SEARCH(("INDISPONÍVEL"),(A49))))</formula>
    </cfRule>
    <cfRule type="containsText" dxfId="851" priority="40" operator="containsText" text="ROTA">
      <formula>NOT(ISERROR(SEARCH(("ROTA"),(A49))))</formula>
    </cfRule>
    <cfRule type="containsText" dxfId="850" priority="41" operator="containsText" text="INTEGRAÇÃO">
      <formula>NOT(ISERROR(SEARCH(("INTEGRAÇÃO"),(A49))))</formula>
    </cfRule>
    <cfRule type="containsText" dxfId="849" priority="42" operator="containsText" text="ATIVO">
      <formula>NOT(ISERROR(SEARCH(("ATIVO"),(#REF!))))</formula>
    </cfRule>
    <cfRule type="cellIs" dxfId="848" priority="43" operator="equal">
      <formula>"INDISPONIVEL"</formula>
    </cfRule>
    <cfRule type="containsText" dxfId="847" priority="44" operator="containsText" text="INATIVO">
      <formula>NOT(ISERROR(SEARCH(("INATIVO"),(A49))))</formula>
    </cfRule>
    <cfRule type="containsText" dxfId="846" priority="45" operator="containsText" text="INTEGRAÇÃO">
      <formula>NOT(ISERROR(SEARCH(("INTEGRAÇÃO"),(#REF!))))</formula>
    </cfRule>
  </conditionalFormatting>
  <conditionalFormatting sqref="A54:B55 A56:A57">
    <cfRule type="containsText" dxfId="845" priority="595" operator="containsText" text="ATIVO">
      <formula>NOT(ISERROR(SEARCH(("ATIVO"),(#REF!))))</formula>
    </cfRule>
  </conditionalFormatting>
  <conditionalFormatting sqref="A54:B55 A22:B22 A24:B30 A32:B32 D32 F32 H32 J32 L32 N32 P32 R32 T32 V32 X32 Z32 AB32 AD32 AF32 AH32 A33 A34:B34 A38:B40 A42:B42 A56:A57 B5">
    <cfRule type="containsText" dxfId="844" priority="754" operator="containsText" text="5X2">
      <formula>NOT(ISERROR(SEARCH(("5X2"),(#REF!))))</formula>
    </cfRule>
  </conditionalFormatting>
  <conditionalFormatting sqref="A61:B61">
    <cfRule type="containsText" dxfId="843" priority="335" operator="containsText" text="INDISPONÍVEL">
      <formula>NOT(ISERROR(SEARCH(("INDISPONÍVEL"),(#REF!))))</formula>
    </cfRule>
    <cfRule type="containsText" dxfId="842" priority="337" operator="containsText" text="5X2">
      <formula>NOT(ISERROR(SEARCH(("5X2"),(#REF!))))</formula>
    </cfRule>
    <cfRule type="containsText" dxfId="841" priority="340" operator="containsText" text="INATIVO">
      <formula>NOT(ISERROR(SEARCH(("INATIVO"),(#REF!))))</formula>
    </cfRule>
    <cfRule type="containsText" dxfId="840" priority="345" operator="containsText" text="INDISPONÍVEL">
      <formula>NOT(ISERROR(SEARCH(("INDISPONÍVEL"),(#REF!))))</formula>
    </cfRule>
    <cfRule type="containsText" dxfId="839" priority="346" operator="containsText" text="ROTA">
      <formula>NOT(ISERROR(SEARCH(("ROTA"),(#REF!))))</formula>
    </cfRule>
    <cfRule type="containsText" dxfId="838" priority="347" operator="containsText" text="INTEGRAÇÃO">
      <formula>NOT(ISERROR(SEARCH(("INTEGRAÇÃO"),(#REF!))))</formula>
    </cfRule>
    <cfRule type="containsText" dxfId="837" priority="348" operator="containsText" text="INATIVO">
      <formula>NOT(ISERROR(SEARCH(("INATIVO"),(#REF!))))</formula>
    </cfRule>
    <cfRule type="containsText" dxfId="836" priority="350" operator="containsText" text="5X2">
      <formula>NOT(ISERROR(SEARCH(("5X2"),(#REF!))))</formula>
    </cfRule>
    <cfRule type="containsText" dxfId="835" priority="351" operator="containsText" text="INATIVO">
      <formula>NOT(ISERROR(SEARCH(("INATIVO"),(#REF!))))</formula>
    </cfRule>
    <cfRule type="containsText" dxfId="834" priority="352" operator="containsText" text="INATIVO">
      <formula>NOT(ISERROR(SEARCH(("INATIVO"),(#REF!))))</formula>
    </cfRule>
    <cfRule type="containsText" dxfId="833" priority="353" operator="containsText" text="ROTA">
      <formula>NOT(ISERROR(SEARCH(("ROTA"),(#REF!))))</formula>
    </cfRule>
    <cfRule type="containsText" dxfId="832" priority="355" operator="containsText" text="ATIVO">
      <formula>NOT(ISERROR(SEARCH(("ATIVO"),(#REF!))))</formula>
    </cfRule>
    <cfRule type="containsText" dxfId="831" priority="356" operator="containsText" text="INDISPONÍVEL">
      <formula>NOT(ISERROR(SEARCH(("INDISPONÍVEL"),(#REF!))))</formula>
    </cfRule>
    <cfRule type="containsText" dxfId="830" priority="357" operator="containsText" text="ROTA">
      <formula>NOT(ISERROR(SEARCH(("ROTA"),(#REF!))))</formula>
    </cfRule>
    <cfRule type="containsText" dxfId="829" priority="358" operator="containsText" text="INATIVO">
      <formula>NOT(ISERROR(SEARCH(("INATIVO"),(#REF!))))</formula>
    </cfRule>
    <cfRule type="containsText" dxfId="828" priority="359" operator="containsText" text="ATIVO">
      <formula>NOT(ISERROR(SEARCH(("ATIVO"),(#REF!))))</formula>
    </cfRule>
    <cfRule type="containsText" dxfId="827" priority="360" operator="containsText" text="5X2">
      <formula>NOT(ISERROR(SEARCH(("5X2"),(A61))))</formula>
    </cfRule>
    <cfRule type="containsText" dxfId="826" priority="361" operator="containsText" text="INATIVO">
      <formula>NOT(ISERROR(SEARCH(("INATIVO"),(A61))))</formula>
    </cfRule>
    <cfRule type="containsText" dxfId="825" priority="362" operator="containsText" text="ATIVO">
      <formula>NOT(ISERROR(SEARCH(("ATIVO"),(A61))))</formula>
    </cfRule>
    <cfRule type="containsText" dxfId="824" priority="363" operator="containsText" text="INDISPONÍVEL">
      <formula>NOT(ISERROR(SEARCH(("INDISPONÍVEL"),(A61))))</formula>
    </cfRule>
    <cfRule type="containsText" dxfId="823" priority="364" operator="containsText" text="ROTA">
      <formula>NOT(ISERROR(SEARCH(("ROTA"),(A61))))</formula>
    </cfRule>
    <cfRule type="containsText" dxfId="822" priority="365" operator="containsText" text="INTEGRAÇÃO">
      <formula>NOT(ISERROR(SEARCH(("INTEGRAÇÃO"),(A61))))</formula>
    </cfRule>
    <cfRule type="containsText" dxfId="821" priority="366" operator="containsText" text="ATIVO">
      <formula>NOT(ISERROR(SEARCH(("ATIVO"),(#REF!))))</formula>
    </cfRule>
    <cfRule type="cellIs" dxfId="820" priority="367" operator="equal">
      <formula>"INDISPONIVEL"</formula>
    </cfRule>
    <cfRule type="containsText" dxfId="819" priority="368" operator="containsText" text="INATIVO">
      <formula>NOT(ISERROR(SEARCH(("INATIVO"),(A61))))</formula>
    </cfRule>
    <cfRule type="containsText" dxfId="818" priority="369" operator="containsText" text="INTEGRAÇÃO">
      <formula>NOT(ISERROR(SEARCH(("INTEGRAÇÃO"),(#REF!))))</formula>
    </cfRule>
    <cfRule type="containsText" dxfId="817" priority="374" operator="containsText" text="INDISPONÍVEL">
      <formula>NOT(ISERROR(SEARCH(("INDISPONÍVEL"),(#REF!))))</formula>
    </cfRule>
    <cfRule type="containsText" dxfId="816" priority="375" operator="containsText" text="ROTA">
      <formula>NOT(ISERROR(SEARCH(("ROTA"),(#REF!))))</formula>
    </cfRule>
    <cfRule type="containsText" dxfId="815" priority="376" operator="containsText" text="INATIVO">
      <formula>NOT(ISERROR(SEARCH(("INATIVO"),(#REF!))))</formula>
    </cfRule>
    <cfRule type="containsText" dxfId="814" priority="378" operator="containsText" text="5X2">
      <formula>NOT(ISERROR(SEARCH(("5X2"),(#REF!))))</formula>
    </cfRule>
    <cfRule type="containsText" dxfId="813" priority="379" operator="containsText" text="INATIVO">
      <formula>NOT(ISERROR(SEARCH(("INATIVO"),(#REF!))))</formula>
    </cfRule>
    <cfRule type="containsText" dxfId="812" priority="380" operator="containsText" text="INATIVO">
      <formula>NOT(ISERROR(SEARCH(("INATIVO"),(#REF!))))</formula>
    </cfRule>
    <cfRule type="containsText" dxfId="811" priority="381" operator="containsText" text="ROTA">
      <formula>NOT(ISERROR(SEARCH(("ROTA"),(#REF!))))</formula>
    </cfRule>
    <cfRule type="containsText" dxfId="810" priority="383" operator="containsText" text="INATIVO">
      <formula>NOT(ISERROR(SEARCH(("INATIVO"),(#REF!))))</formula>
    </cfRule>
    <cfRule type="containsText" dxfId="809" priority="384" operator="containsText" text="ATIVO">
      <formula>NOT(ISERROR(SEARCH(("ATIVO"),(#REF!))))</formula>
    </cfRule>
    <cfRule type="containsText" dxfId="808" priority="387" operator="containsText" text="INATIVO">
      <formula>NOT(ISERROR(SEARCH(("INATIVO"),(#REF!))))</formula>
    </cfRule>
    <cfRule type="containsText" dxfId="807" priority="388" operator="containsText" text="INDISPONÍVEL">
      <formula>NOT(ISERROR(SEARCH(("INDISPONÍVEL"),(#REF!))))</formula>
    </cfRule>
    <cfRule type="containsText" dxfId="806" priority="391" operator="containsText" text="INATIVO">
      <formula>NOT(ISERROR(SEARCH(("INATIVO"),(#REF!))))</formula>
    </cfRule>
    <cfRule type="containsText" dxfId="805" priority="392" operator="containsText" text="INATIVO">
      <formula>NOT(ISERROR(SEARCH(("INATIVO"),(#REF!))))</formula>
    </cfRule>
    <cfRule type="containsText" dxfId="804" priority="393" operator="containsText" text="5X2">
      <formula>NOT(ISERROR(SEARCH(("5X2"),(#REF!))))</formula>
    </cfRule>
    <cfRule type="containsText" dxfId="803" priority="394" operator="containsText" text="INTEGRAÇÃO">
      <formula>NOT(ISERROR(SEARCH(("INTEGRAÇÃO"),(#REF!))))</formula>
    </cfRule>
    <cfRule type="containsText" dxfId="802" priority="395" operator="containsText" text="INDISPONÍVEL">
      <formula>NOT(ISERROR(SEARCH(("INDISPONÍVEL"),(#REF!))))</formula>
    </cfRule>
    <cfRule type="containsText" dxfId="801" priority="396" operator="containsText" text="ROTA">
      <formula>NOT(ISERROR(SEARCH(("ROTA"),(#REF!))))</formula>
    </cfRule>
    <cfRule type="containsText" dxfId="800" priority="397" operator="containsText" text="INTEGRAÇÃO">
      <formula>NOT(ISERROR(SEARCH(("INTEGRAÇÃO"),(#REF!))))</formula>
    </cfRule>
    <cfRule type="containsText" dxfId="799" priority="398" operator="containsText" text="5X2">
      <formula>NOT(ISERROR(SEARCH(("5X2"),(A61))))</formula>
    </cfRule>
    <cfRule type="containsText" dxfId="798" priority="399" operator="containsText" text="INATIVO">
      <formula>NOT(ISERROR(SEARCH(("INATIVO"),(A61))))</formula>
    </cfRule>
    <cfRule type="containsText" dxfId="797" priority="400" operator="containsText" text="ATIVO">
      <formula>NOT(ISERROR(SEARCH(("ATIVO"),(A61))))</formula>
    </cfRule>
    <cfRule type="containsText" dxfId="796" priority="401" operator="containsText" text="INDISPONÍVEL">
      <formula>NOT(ISERROR(SEARCH(("INDISPONÍVEL"),(A61))))</formula>
    </cfRule>
    <cfRule type="containsText" dxfId="795" priority="402" operator="containsText" text="ROTA">
      <formula>NOT(ISERROR(SEARCH(("ROTA"),(A61))))</formula>
    </cfRule>
    <cfRule type="containsText" dxfId="794" priority="403" operator="containsText" text="INTEGRAÇÃO">
      <formula>NOT(ISERROR(SEARCH(("INTEGRAÇÃO"),(A61))))</formula>
    </cfRule>
    <cfRule type="cellIs" dxfId="793" priority="404" operator="equal">
      <formula>"INDISPONIVEL"</formula>
    </cfRule>
    <cfRule type="containsText" dxfId="792" priority="405" operator="containsText" text="INATIVO">
      <formula>NOT(ISERROR(SEARCH(("INATIVO"),(A61))))</formula>
    </cfRule>
    <cfRule type="containsText" dxfId="791" priority="406" operator="containsText" text="INTEGRAÇÃO">
      <formula>NOT(ISERROR(SEARCH(("INTEGRAÇÃO"),(#REF!))))</formula>
    </cfRule>
  </conditionalFormatting>
  <conditionalFormatting sqref="A63:B65 B66">
    <cfRule type="containsText" dxfId="790" priority="262" operator="containsText" text="INDISPONÍVEL">
      <formula>NOT(ISERROR(SEARCH(("INDISPONÍVEL"),(#REF!))))</formula>
    </cfRule>
    <cfRule type="containsText" dxfId="789" priority="264" operator="containsText" text="5X2">
      <formula>NOT(ISERROR(SEARCH(("5X2"),(#REF!))))</formula>
    </cfRule>
    <cfRule type="containsText" dxfId="788" priority="267" operator="containsText" text="INATIVO">
      <formula>NOT(ISERROR(SEARCH(("INATIVO"),(#REF!))))</formula>
    </cfRule>
    <cfRule type="containsText" dxfId="787" priority="272" operator="containsText" text="INDISPONÍVEL">
      <formula>NOT(ISERROR(SEARCH(("INDISPONÍVEL"),(#REF!))))</formula>
    </cfRule>
    <cfRule type="containsText" dxfId="786" priority="273" operator="containsText" text="ROTA">
      <formula>NOT(ISERROR(SEARCH(("ROTA"),(#REF!))))</formula>
    </cfRule>
    <cfRule type="containsText" dxfId="785" priority="274" operator="containsText" text="INTEGRAÇÃO">
      <formula>NOT(ISERROR(SEARCH(("INTEGRAÇÃO"),(#REF!))))</formula>
    </cfRule>
    <cfRule type="containsText" dxfId="784" priority="278" operator="containsText" text="5X2">
      <formula>NOT(ISERROR(SEARCH(("5X2"),(#REF!))))</formula>
    </cfRule>
    <cfRule type="containsText" dxfId="783" priority="279" operator="containsText" text="INATIVO">
      <formula>NOT(ISERROR(SEARCH(("INATIVO"),(#REF!))))</formula>
    </cfRule>
    <cfRule type="containsText" dxfId="782" priority="280" operator="containsText" text="INATIVO">
      <formula>NOT(ISERROR(SEARCH(("INATIVO"),(#REF!))))</formula>
    </cfRule>
    <cfRule type="containsText" dxfId="781" priority="281" operator="containsText" text="ROTA">
      <formula>NOT(ISERROR(SEARCH(("ROTA"),(#REF!))))</formula>
    </cfRule>
    <cfRule type="containsText" dxfId="780" priority="283" operator="containsText" text="ATIVO">
      <formula>NOT(ISERROR(SEARCH(("ATIVO"),(#REF!))))</formula>
    </cfRule>
    <cfRule type="containsText" dxfId="779" priority="284" operator="containsText" text="INDISPONÍVEL">
      <formula>NOT(ISERROR(SEARCH(("INDISPONÍVEL"),(#REF!))))</formula>
    </cfRule>
    <cfRule type="containsText" dxfId="778" priority="285" operator="containsText" text="ROTA">
      <formula>NOT(ISERROR(SEARCH(("ROTA"),(#REF!))))</formula>
    </cfRule>
    <cfRule type="containsText" dxfId="777" priority="286" operator="containsText" text="INATIVO">
      <formula>NOT(ISERROR(SEARCH(("INATIVO"),(#REF!))))</formula>
    </cfRule>
    <cfRule type="containsText" dxfId="776" priority="287" operator="containsText" text="ATIVO">
      <formula>NOT(ISERROR(SEARCH(("ATIVO"),(#REF!))))</formula>
    </cfRule>
    <cfRule type="containsText" dxfId="775" priority="288" operator="containsText" text="5X2">
      <formula>NOT(ISERROR(SEARCH(("5X2"),(A63))))</formula>
    </cfRule>
    <cfRule type="containsText" dxfId="774" priority="289" operator="containsText" text="INATIVO">
      <formula>NOT(ISERROR(SEARCH(("INATIVO"),(A63))))</formula>
    </cfRule>
    <cfRule type="containsText" dxfId="773" priority="290" operator="containsText" text="ATIVO">
      <formula>NOT(ISERROR(SEARCH(("ATIVO"),(A63))))</formula>
    </cfRule>
    <cfRule type="containsText" dxfId="772" priority="291" operator="containsText" text="INDISPONÍVEL">
      <formula>NOT(ISERROR(SEARCH(("INDISPONÍVEL"),(A63))))</formula>
    </cfRule>
    <cfRule type="containsText" dxfId="771" priority="292" operator="containsText" text="ROTA">
      <formula>NOT(ISERROR(SEARCH(("ROTA"),(A63))))</formula>
    </cfRule>
    <cfRule type="containsText" dxfId="770" priority="293" operator="containsText" text="INTEGRAÇÃO">
      <formula>NOT(ISERROR(SEARCH(("INTEGRAÇÃO"),(A63))))</formula>
    </cfRule>
    <cfRule type="containsText" dxfId="769" priority="294" operator="containsText" text="ATIVO">
      <formula>NOT(ISERROR(SEARCH(("ATIVO"),(#REF!))))</formula>
    </cfRule>
    <cfRule type="cellIs" dxfId="768" priority="295" operator="equal">
      <formula>"INDISPONIVEL"</formula>
    </cfRule>
    <cfRule type="containsText" dxfId="767" priority="296" operator="containsText" text="INATIVO">
      <formula>NOT(ISERROR(SEARCH(("INATIVO"),(A63))))</formula>
    </cfRule>
    <cfRule type="containsText" dxfId="766" priority="297" operator="containsText" text="INTEGRAÇÃO">
      <formula>NOT(ISERROR(SEARCH(("INTEGRAÇÃO"),(#REF!))))</formula>
    </cfRule>
    <cfRule type="containsText" dxfId="765" priority="302" operator="containsText" text="INDISPONÍVEL">
      <formula>NOT(ISERROR(SEARCH(("INDISPONÍVEL"),(#REF!))))</formula>
    </cfRule>
    <cfRule type="containsText" dxfId="764" priority="303" operator="containsText" text="ROTA">
      <formula>NOT(ISERROR(SEARCH(("ROTA"),(#REF!))))</formula>
    </cfRule>
    <cfRule type="containsText" dxfId="763" priority="304" operator="containsText" text="INATIVO">
      <formula>NOT(ISERROR(SEARCH(("INATIVO"),(#REF!))))</formula>
    </cfRule>
    <cfRule type="containsText" dxfId="762" priority="306" operator="containsText" text="5X2">
      <formula>NOT(ISERROR(SEARCH(("5X2"),(#REF!))))</formula>
    </cfRule>
    <cfRule type="containsText" dxfId="761" priority="307" operator="containsText" text="INATIVO">
      <formula>NOT(ISERROR(SEARCH(("INATIVO"),(#REF!))))</formula>
    </cfRule>
    <cfRule type="containsText" dxfId="760" priority="308" operator="containsText" text="INATIVO">
      <formula>NOT(ISERROR(SEARCH(("INATIVO"),(#REF!))))</formula>
    </cfRule>
    <cfRule type="containsText" dxfId="759" priority="309" operator="containsText" text="ROTA">
      <formula>NOT(ISERROR(SEARCH(("ROTA"),(#REF!))))</formula>
    </cfRule>
    <cfRule type="containsText" dxfId="758" priority="311" operator="containsText" text="INATIVO">
      <formula>NOT(ISERROR(SEARCH(("INATIVO"),(#REF!))))</formula>
    </cfRule>
    <cfRule type="containsText" dxfId="757" priority="312" operator="containsText" text="ATIVO">
      <formula>NOT(ISERROR(SEARCH(("ATIVO"),(#REF!))))</formula>
    </cfRule>
    <cfRule type="containsText" dxfId="756" priority="315" operator="containsText" text="INATIVO">
      <formula>NOT(ISERROR(SEARCH(("INATIVO"),(#REF!))))</formula>
    </cfRule>
    <cfRule type="containsText" dxfId="755" priority="316" operator="containsText" text="INDISPONÍVEL">
      <formula>NOT(ISERROR(SEARCH(("INDISPONÍVEL"),(#REF!))))</formula>
    </cfRule>
    <cfRule type="containsText" dxfId="754" priority="318" operator="containsText" text="INATIVO">
      <formula>NOT(ISERROR(SEARCH(("INATIVO"),(#REF!))))</formula>
    </cfRule>
    <cfRule type="containsText" dxfId="753" priority="321" operator="containsText" text="5X2">
      <formula>NOT(ISERROR(SEARCH(("5X2"),(#REF!))))</formula>
    </cfRule>
    <cfRule type="containsText" dxfId="752" priority="322" operator="containsText" text="INTEGRAÇÃO">
      <formula>NOT(ISERROR(SEARCH(("INTEGRAÇÃO"),(#REF!))))</formula>
    </cfRule>
    <cfRule type="containsText" dxfId="751" priority="323" operator="containsText" text="INDISPONÍVEL">
      <formula>NOT(ISERROR(SEARCH(("INDISPONÍVEL"),(#REF!))))</formula>
    </cfRule>
    <cfRule type="containsText" dxfId="750" priority="324" operator="containsText" text="ROTA">
      <formula>NOT(ISERROR(SEARCH(("ROTA"),(#REF!))))</formula>
    </cfRule>
    <cfRule type="containsText" dxfId="749" priority="325" operator="containsText" text="INTEGRAÇÃO">
      <formula>NOT(ISERROR(SEARCH(("INTEGRAÇÃO"),(#REF!))))</formula>
    </cfRule>
    <cfRule type="containsText" dxfId="748" priority="326" operator="containsText" text="5X2">
      <formula>NOT(ISERROR(SEARCH(("5X2"),(A63))))</formula>
    </cfRule>
    <cfRule type="containsText" dxfId="747" priority="327" operator="containsText" text="INATIVO">
      <formula>NOT(ISERROR(SEARCH(("INATIVO"),(A63))))</formula>
    </cfRule>
    <cfRule type="containsText" dxfId="746" priority="328" operator="containsText" text="ATIVO">
      <formula>NOT(ISERROR(SEARCH(("ATIVO"),(A63))))</formula>
    </cfRule>
    <cfRule type="containsText" dxfId="745" priority="329" operator="containsText" text="INDISPONÍVEL">
      <formula>NOT(ISERROR(SEARCH(("INDISPONÍVEL"),(A63))))</formula>
    </cfRule>
    <cfRule type="containsText" dxfId="744" priority="330" operator="containsText" text="ROTA">
      <formula>NOT(ISERROR(SEARCH(("ROTA"),(A63))))</formula>
    </cfRule>
    <cfRule type="containsText" dxfId="743" priority="331" operator="containsText" text="INTEGRAÇÃO">
      <formula>NOT(ISERROR(SEARCH(("INTEGRAÇÃO"),(A63))))</formula>
    </cfRule>
    <cfRule type="cellIs" dxfId="742" priority="332" operator="equal">
      <formula>"INDISPONIVEL"</formula>
    </cfRule>
    <cfRule type="containsText" dxfId="741" priority="333" operator="containsText" text="INATIVO">
      <formula>NOT(ISERROR(SEARCH(("INATIVO"),(A63))))</formula>
    </cfRule>
    <cfRule type="containsText" dxfId="740" priority="334" operator="containsText" text="INTEGRAÇÃO">
      <formula>NOT(ISERROR(SEARCH(("INTEGRAÇÃO"),(#REF!))))</formula>
    </cfRule>
  </conditionalFormatting>
  <conditionalFormatting sqref="A63:B65">
    <cfRule type="containsText" dxfId="739" priority="276" operator="containsText" text="INATIVO">
      <formula>NOT(ISERROR(SEARCH(("INATIVO"),(#REF!))))</formula>
    </cfRule>
  </conditionalFormatting>
  <conditionalFormatting sqref="A67:B67"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:C32 A33 A34:B56 C33:H56 A1:AG2 AH1:AH30 D58:AH68 D57:H57 D3:AG30 D31:AO32 I33:AH57 A57:C67">
    <cfRule type="colorScale" priority="844">
      <colorScale>
        <cfvo type="min"/>
        <cfvo type="max"/>
        <color rgb="FFFFEF9C"/>
        <color rgb="FF63BE7B"/>
      </colorScale>
    </cfRule>
  </conditionalFormatting>
  <conditionalFormatting sqref="A3:C32 A33 A2:AG2 A34:B56 C33:H56 D58:AH68 D57:H57 AH2:AH30 D3:AG30 D31:AO32 I33:AH57 A57:C67"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:H57 A33 A34:B56 A58:AH68 C33:H56 A2:AH30 A31:AO32 I33:AH57 C57:C6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AF2 AG2:AH30 D3:AF30 A8:B18 A22:B22 A24:B30 E31:AO32 D31:D68 A32:B32 A33 A34:B34 A38:B40 A42:B42 E68:AH68 C3:C67 E33:AH57 A54:B55 A56:A57 R58 Y58:Y60 E58:Q67">
    <cfRule type="containsText" dxfId="738" priority="831" operator="containsText" text="ATIVO">
      <formula>NOT(ISERROR(SEARCH(("ATIVO"),(#REF!))))</formula>
    </cfRule>
  </conditionalFormatting>
  <conditionalFormatting sqref="A2:AF2 AG2:AH30 D3:AF30 A22:B22 A24:B30 A32:B32 D32 F32 H32 J32 L32 N32 P32 R32 T32 V32 X32 Z32 AB32 AD32 AF32 AH32 A33 A34:B34 A38:B40 A42:B42 E68:AH68 A8:B18">
    <cfRule type="containsText" dxfId="737" priority="830" operator="containsText" text="INATIVO">
      <formula>NOT(ISERROR(SEARCH(("INATIVO"),(#REF!))))</formula>
    </cfRule>
  </conditionalFormatting>
  <conditionalFormatting sqref="A2:AF2 AG2:AH30 D3:AF30 C3:C67 A8:B15 A22:B22 A24:B30 E31:AO32 D31:D68 A32:B32 A33 E33:AH57 A34:B34 A38:B40 A42:B42 A54:B55 A56:A57 R58 Y58:Y60 E58:Q67 E68:AH68">
    <cfRule type="cellIs" dxfId="736" priority="839" operator="equal">
      <formula>"INDISPONIVEL"</formula>
    </cfRule>
    <cfRule type="containsText" dxfId="735" priority="840" operator="containsText" text="INATIVO">
      <formula>NOT(ISERROR(SEARCH(("INATIVO"),(A2))))</formula>
    </cfRule>
  </conditionalFormatting>
  <conditionalFormatting sqref="A2:AF2 AG2:AH30 D3:AF30 C3:C67 A8:B18 A22:B22 A24:B30 E31:AO32 D31:D68 A32:B32 A33 E33:AH57 A34:B34 A38:B40 A42:B42 A54:B55 A56:A57 R58 Y58:Y60 E58:Q67 E68:AH68">
    <cfRule type="containsText" dxfId="734" priority="838" operator="containsText" text="ATIVO">
      <formula>NOT(ISERROR(SEARCH(("ATIVO"),(#REF!))))</formula>
    </cfRule>
  </conditionalFormatting>
  <conditionalFormatting sqref="A2:AF2 AG2:AH30 D3:AF30 C3:C67 A8:B20 A22:B22 A24:B30 E31:AO32 D31:D68 A32:B32 A33 E33:AH57 A34:B34 A38:B40 A42:B42 A54:B55 A56:A57 R58 Y58:Y60 E58:Q67 E68:AH68">
    <cfRule type="containsText" dxfId="733" priority="832" operator="containsText" text="5X2">
      <formula>NOT(ISERROR(SEARCH(("5X2"),(A2))))</formula>
    </cfRule>
    <cfRule type="containsText" dxfId="732" priority="833" operator="containsText" text="INATIVO">
      <formula>NOT(ISERROR(SEARCH(("INATIVO"),(A2))))</formula>
    </cfRule>
    <cfRule type="containsText" dxfId="731" priority="834" operator="containsText" text="ATIVO">
      <formula>NOT(ISERROR(SEARCH(("ATIVO"),(A2))))</formula>
    </cfRule>
    <cfRule type="containsText" dxfId="730" priority="835" operator="containsText" text="INDISPONÍVEL">
      <formula>NOT(ISERROR(SEARCH(("INDISPONÍVEL"),(A2))))</formula>
    </cfRule>
    <cfRule type="containsText" dxfId="729" priority="836" operator="containsText" text="ROTA">
      <formula>NOT(ISERROR(SEARCH(("ROTA"),(A2))))</formula>
    </cfRule>
    <cfRule type="containsText" dxfId="728" priority="837" operator="containsText" text="INTEGRAÇÃO">
      <formula>NOT(ISERROR(SEARCH(("INTEGRAÇÃO"),(A2))))</formula>
    </cfRule>
    <cfRule type="containsText" dxfId="727" priority="841" operator="containsText" text="INTEGRAÇÃO">
      <formula>NOT(ISERROR(SEARCH(("INTEGRAÇÃO"),(#REF!))))</formula>
    </cfRule>
  </conditionalFormatting>
  <conditionalFormatting sqref="A2:AF2 AG2:AH30 D3:AF30 C3:C67 A22:B22 A24:B30 E31:AO32 D31:D68 A32:B32 E33:AH57 A34:B34 A38:B40 A42:B42 A54:B55 R58 Y58:Y60 E58:Q67 E68:AH68 A33">
    <cfRule type="containsText" dxfId="726" priority="826" operator="containsText" text="5X2">
      <formula>NOT(ISERROR(SEARCH(("5X2"),(#REF!))))</formula>
    </cfRule>
  </conditionalFormatting>
  <conditionalFormatting sqref="A2:AF2 AG2:AH30 D3:AF30 C3:C67 E31:AO32 D31:D68 E33:AH57 R58 Y58:Y60 E58:Q67 E68:AH68 A22:B22 A24:B30 A32:B32 A33 A34:B34 A38:B40 A42:B42 A54:B55 A56:A57">
    <cfRule type="containsText" dxfId="725" priority="829" operator="containsText" text="ROTA">
      <formula>NOT(ISERROR(SEARCH(("ROTA"),(#REF!))))</formula>
    </cfRule>
  </conditionalFormatting>
  <conditionalFormatting sqref="A2:AF2 AG2:AH30 D3:AF30 C3:C67 E31:AO32 D31:D68 E33:AH57 R58 Y58:Y60 E58:Q67 E68:AH68">
    <cfRule type="containsText" dxfId="724" priority="745" operator="containsText" text="ROTA">
      <formula>NOT(ISERROR(SEARCH(("ROTA"),(#REF!))))</formula>
    </cfRule>
    <cfRule type="containsText" dxfId="723" priority="787" operator="containsText" text="ROTA">
      <formula>NOT(ISERROR(SEARCH(("ROTA"),(#REF!))))</formula>
    </cfRule>
    <cfRule type="containsText" dxfId="722" priority="828" operator="containsText" text="INATIVO">
      <formula>NOT(ISERROR(SEARCH(("INATIVO"),(#REF!))))</formula>
    </cfRule>
  </conditionalFormatting>
  <conditionalFormatting sqref="A2:AF2 AG2:AH30 D3:AF30 E68:AH68">
    <cfRule type="containsText" dxfId="721" priority="821" operator="containsText" text="ATIVO">
      <formula>NOT(ISERROR(SEARCH(("ATIVO"),(#REF!))))</formula>
    </cfRule>
    <cfRule type="containsText" dxfId="720" priority="822" operator="containsText" text="INDISPONÍVEL">
      <formula>NOT(ISERROR(SEARCH(("INDISPONÍVEL"),(#REF!))))</formula>
    </cfRule>
  </conditionalFormatting>
  <conditionalFormatting sqref="A2:AF2 AG2:AH30 D3:AF30 E31:AO32 D31:D68 E68:AH68 C3:C67 E33:AH57 R58 Y58:Y60 E58:Q67">
    <cfRule type="containsText" dxfId="719" priority="777" operator="containsText" text="ATIVO">
      <formula>NOT(ISERROR(SEARCH(("ATIVO"),(#REF!))))</formula>
    </cfRule>
  </conditionalFormatting>
  <conditionalFormatting sqref="B3">
    <cfRule type="containsText" dxfId="718" priority="751" operator="containsText" text="INATIVO">
      <formula>NOT(ISERROR(SEARCH(("INATIVO"),(#REF!))))</formula>
    </cfRule>
  </conditionalFormatting>
  <conditionalFormatting sqref="B3:B5">
    <cfRule type="containsText" dxfId="717" priority="793" operator="containsText" text="ATIVO">
      <formula>NOT(ISERROR(SEARCH(("ATIVO"),(#REF!))))</formula>
    </cfRule>
    <cfRule type="containsText" dxfId="716" priority="798" operator="containsText" text="INATIVO">
      <formula>NOT(ISERROR(SEARCH(("INATIVO"),(#REF!))))</formula>
    </cfRule>
    <cfRule type="containsText" dxfId="715" priority="803" operator="containsText" text="ROTA">
      <formula>NOT(ISERROR(SEARCH(("ROTA"),(#REF!))))</formula>
    </cfRule>
  </conditionalFormatting>
  <conditionalFormatting sqref="B4:B5 A24:B24 A54:B55 B2:AF2 E68:AH68">
    <cfRule type="containsText" dxfId="714" priority="749" operator="containsText" text="ATIVO">
      <formula>NOT(ISERROR(SEARCH(("ATIVO"),(#REF!))))</formula>
    </cfRule>
  </conditionalFormatting>
  <conditionalFormatting sqref="B4:B5 A54:B55 A24:B24">
    <cfRule type="containsText" dxfId="713" priority="748" operator="containsText" text="INATIVO">
      <formula>NOT(ISERROR(SEARCH(("INATIVO"),(#REF!))))</formula>
    </cfRule>
  </conditionalFormatting>
  <conditionalFormatting sqref="B4:B6 A2:AF2 AG2:AH30 D3:AF30 C3:C67 E31:AO32 D31:D68 E33:AH57 R58 Y58:Y60 E58:Q67 E68:AH68">
    <cfRule type="containsText" dxfId="712" priority="796" operator="containsText" text="INATIVO">
      <formula>NOT(ISERROR(SEARCH(("INATIVO"),(#REF!))))</formula>
    </cfRule>
  </conditionalFormatting>
  <conditionalFormatting sqref="B5 B22 B24:B30 B32 D32 F32 H32 J32 L32 N32 P32 R32 T32 V32 X32 Z32 AB32 AD32 AF32 AH32 B34 B38:B40 B42 B54:B55">
    <cfRule type="containsText" dxfId="711" priority="759" operator="containsText" text="ATIVO">
      <formula>NOT(ISERROR(SEARCH(("ATIVO"),(#REF!))))</formula>
    </cfRule>
  </conditionalFormatting>
  <conditionalFormatting sqref="B6 B22 B24:B30 B32 D32 F32 H32 J32 L32 N32 P32 R32 T32 V32 X32 Z32 AB32 AD32 AF32 AH32 B34 B38:B40 B42 B54:B55">
    <cfRule type="containsText" dxfId="710" priority="767" operator="containsText" text="ATIVO">
      <formula>NOT(ISERROR(SEARCH(("ATIVO"),(#REF!))))</formula>
    </cfRule>
  </conditionalFormatting>
  <conditionalFormatting sqref="B6">
    <cfRule type="containsText" dxfId="709" priority="765" operator="containsText" text="ROTA">
      <formula>NOT(ISERROR(SEARCH(("ROTA"),(#REF!))))</formula>
    </cfRule>
    <cfRule type="containsText" dxfId="708" priority="766" operator="containsText" text="INATIVO">
      <formula>NOT(ISERROR(SEARCH(("INATIVO"),(#REF!))))</formula>
    </cfRule>
    <cfRule type="containsText" dxfId="707" priority="768" operator="containsText" text="INATIVO">
      <formula>NOT(ISERROR(SEARCH(("INATIVO"),(#REF!))))</formula>
    </cfRule>
    <cfRule type="containsText" dxfId="706" priority="771" operator="containsText" text="ROTA">
      <formula>NOT(ISERROR(SEARCH(("ROTA"),(#REF!))))</formula>
    </cfRule>
    <cfRule type="containsText" dxfId="705" priority="783" operator="containsText" text="ATIVO">
      <formula>NOT(ISERROR(SEARCH(("ATIVO"),(#REF!))))</formula>
    </cfRule>
  </conditionalFormatting>
  <conditionalFormatting sqref="B8 B12 B16 B54:B55 B22 B24:B30 B32 D32 F32 H32 J32 L32 N32 P32 R32 T32 V32 X32 Z32 AB32 AD32 AF32 AH32 B34 B38:B40 B42">
    <cfRule type="containsText" dxfId="704" priority="722" operator="containsText" text="ATIVO">
      <formula>NOT(ISERROR(SEARCH(("ATIVO"),(#REF!))))</formula>
    </cfRule>
  </conditionalFormatting>
  <conditionalFormatting sqref="B8 B12 B16 B54:B55">
    <cfRule type="containsText" dxfId="703" priority="721" operator="containsText" text="INATIVO">
      <formula>NOT(ISERROR(SEARCH(("INATIVO"),(#REF!))))</formula>
    </cfRule>
  </conditionalFormatting>
  <conditionalFormatting sqref="B8:B20">
    <cfRule type="containsText" dxfId="702" priority="712" operator="containsText" text="ATIVO">
      <formula>NOT(ISERROR(SEARCH(("ATIVO"),(#REF!))))</formula>
    </cfRule>
  </conditionalFormatting>
  <conditionalFormatting sqref="B9:B18">
    <cfRule type="containsText" dxfId="701" priority="677" operator="containsText" text="INATIVO">
      <formula>NOT(ISERROR(SEARCH(("INATIVO"),(#REF!))))</formula>
    </cfRule>
  </conditionalFormatting>
  <conditionalFormatting sqref="B11 B8 C3:C67 E31:E32 G31:G32 I31:I32 K31:K32 M31:M32 O31:O32 Q31:Q32 S31:S32 U31:U32 W31:W32 Y31:Y32 AA31:AA32 AC31:AC32 AE31:AE32 AG31:AG32">
    <cfRule type="containsText" dxfId="700" priority="703" operator="containsText" text="ROTA">
      <formula>NOT(ISERROR(SEARCH(("ROTA"),(#REF!))))</formula>
    </cfRule>
  </conditionalFormatting>
  <conditionalFormatting sqref="B12:B13 B16:B18 B9:B10">
    <cfRule type="containsText" dxfId="699" priority="656" operator="containsText" text="ROTA">
      <formula>NOT(ISERROR(SEARCH(("ROTA"),(#REF!))))</formula>
    </cfRule>
  </conditionalFormatting>
  <conditionalFormatting sqref="B13">
    <cfRule type="containsText" dxfId="698" priority="676" operator="containsText" text="5X2">
      <formula>NOT(ISERROR(SEARCH(("5X2"),(#REF!))))</formula>
    </cfRule>
    <cfRule type="containsText" dxfId="697" priority="688" operator="containsText" text="INATIVO">
      <formula>NOT(ISERROR(SEARCH(("INATIVO"),(#REF!))))</formula>
    </cfRule>
    <cfRule type="containsText" dxfId="696" priority="689" operator="containsText" text="ATIVO">
      <formula>NOT(ISERROR(SEARCH(("ATIVO"),(#REF!))))</formula>
    </cfRule>
  </conditionalFormatting>
  <conditionalFormatting sqref="B13:B15 A16:B20 A9:B10 A12:B12 A56:A57 B8 B11">
    <cfRule type="containsText" dxfId="695" priority="719" operator="containsText" text="5X2">
      <formula>NOT(ISERROR(SEARCH(("5X2"),(#REF!))))</formula>
    </cfRule>
  </conditionalFormatting>
  <conditionalFormatting sqref="B13:B15 B11">
    <cfRule type="containsText" dxfId="694" priority="684" operator="containsText" text="ROTA">
      <formula>NOT(ISERROR(SEARCH(("ROTA"),(#REF!))))</formula>
    </cfRule>
  </conditionalFormatting>
  <conditionalFormatting sqref="B13:B15">
    <cfRule type="containsText" dxfId="693" priority="700" operator="containsText" text="ROTA">
      <formula>NOT(ISERROR(SEARCH(("ROTA"),(#REF!))))</formula>
    </cfRule>
  </conditionalFormatting>
  <conditionalFormatting sqref="B14:B20">
    <cfRule type="containsText" dxfId="692" priority="718" operator="containsText" text="INATIVO">
      <formula>NOT(ISERROR(SEARCH(("INATIVO"),(#REF!))))</formula>
    </cfRule>
  </conditionalFormatting>
  <conditionalFormatting sqref="B19 A24:B30 A34:B34 A42:B42 A22:B22 A32:B32 D32 F32 H32 J32 L32 N32 P32 R32 T32 V32 X32 Z32 AB32 AD32 AF32 AH32 A38:B40 A54:B55">
    <cfRule type="containsText" dxfId="691" priority="621" operator="containsText" text="ATIVO">
      <formula>NOT(ISERROR(SEARCH(("ATIVO"),(#REF!))))</formula>
    </cfRule>
  </conditionalFormatting>
  <conditionalFormatting sqref="B19">
    <cfRule type="containsText" dxfId="690" priority="624" operator="containsText" text="ATIVO">
      <formula>NOT(ISERROR(SEARCH(("ATIVO"),(#REF!))))</formula>
    </cfRule>
    <cfRule type="containsText" dxfId="689" priority="625" operator="containsText" text="INATIVO">
      <formula>NOT(ISERROR(SEARCH(("INATIVO"),(#REF!))))</formula>
    </cfRule>
    <cfRule type="containsText" dxfId="688" priority="626" operator="containsText" text="ATIVO">
      <formula>NOT(ISERROR(SEARCH(("ATIVO"),(#REF!))))</formula>
    </cfRule>
    <cfRule type="containsText" dxfId="687" priority="627" operator="containsText" text="INATIVO">
      <formula>NOT(ISERROR(SEARCH(("INATIVO"),(#REF!))))</formula>
    </cfRule>
    <cfRule type="containsText" dxfId="686" priority="637" operator="containsText" text="5X2">
      <formula>NOT(ISERROR(SEARCH(("5X2"),(#REF!))))</formula>
    </cfRule>
    <cfRule type="containsText" dxfId="685" priority="653" operator="containsText" text="ATIVO">
      <formula>NOT(ISERROR(SEARCH(("ATIVO"),(#REF!))))</formula>
    </cfRule>
    <cfRule type="containsText" dxfId="684" priority="657" operator="containsText" text="INATIVO">
      <formula>NOT(ISERROR(SEARCH(("INATIVO"),(#REF!))))</formula>
    </cfRule>
    <cfRule type="containsText" dxfId="683" priority="658" operator="containsText" text="ATIVO">
      <formula>NOT(ISERROR(SEARCH(("ATIVO"),(#REF!))))</formula>
    </cfRule>
    <cfRule type="containsText" dxfId="682" priority="664" operator="containsText" text="ROTA">
      <formula>NOT(ISERROR(SEARCH(("ROTA"),(#REF!))))</formula>
    </cfRule>
    <cfRule type="containsText" dxfId="681" priority="669" operator="containsText" text="5X2">
      <formula>NOT(ISERROR(SEARCH(("5X2"),(#REF!))))</formula>
    </cfRule>
  </conditionalFormatting>
  <conditionalFormatting sqref="B19:B20">
    <cfRule type="containsText" dxfId="680" priority="632" operator="containsText" text="ROTA">
      <formula>NOT(ISERROR(SEARCH(("ROTA"),(#REF!))))</formula>
    </cfRule>
    <cfRule type="containsText" dxfId="679" priority="659" operator="containsText" text="INATIVO">
      <formula>NOT(ISERROR(SEARCH(("INATIVO"),(#REF!))))</formula>
    </cfRule>
  </conditionalFormatting>
  <conditionalFormatting sqref="B20 B12 B16:B18 B9:B10">
    <cfRule type="containsText" dxfId="678" priority="727" operator="containsText" text="ROTA">
      <formula>NOT(ISERROR(SEARCH(("ROTA"),(#REF!))))</formula>
    </cfRule>
  </conditionalFormatting>
  <conditionalFormatting sqref="B20">
    <cfRule type="containsText" dxfId="677" priority="723" operator="containsText" text="INATIVO">
      <formula>NOT(ISERROR(SEARCH(("INATIVO"),(#REF!))))</formula>
    </cfRule>
  </conditionalFormatting>
  <conditionalFormatting sqref="B22 B24:B30 E31:AO32 B32 B34 B38:B40 B42 B54:B55 B2:AF2 AG2:AH30 D3:AF30 D31:D68 E68:AH68 C3:C67 E33:AH57 R58 Y58:Y60 E58:Q67">
    <cfRule type="containsText" dxfId="676" priority="825" operator="containsText" text="ROTA">
      <formula>NOT(ISERROR(SEARCH(("ROTA"),(#REF!))))</formula>
    </cfRule>
  </conditionalFormatting>
  <conditionalFormatting sqref="B38:B42">
    <cfRule type="containsText" dxfId="675" priority="600" operator="containsText" text="ATIVO">
      <formula>NOT(ISERROR(SEARCH(("ATIVO"),(#REF!))))</formula>
    </cfRule>
  </conditionalFormatting>
  <conditionalFormatting sqref="B41">
    <cfRule type="containsText" dxfId="674" priority="548" operator="containsText" text="ATIVO">
      <formula>NOT(ISERROR(SEARCH(("ATIVO"),(#REF!))))</formula>
    </cfRule>
    <cfRule type="containsText" dxfId="673" priority="551" operator="containsText" text="ATIVO">
      <formula>NOT(ISERROR(SEARCH(("ATIVO"),(#REF!))))</formula>
    </cfRule>
    <cfRule type="containsText" dxfId="672" priority="552" operator="containsText" text="INATIVO">
      <formula>NOT(ISERROR(SEARCH(("INATIVO"),(#REF!))))</formula>
    </cfRule>
    <cfRule type="containsText" dxfId="671" priority="553" operator="containsText" text="ATIVO">
      <formula>NOT(ISERROR(SEARCH(("ATIVO"),(#REF!))))</formula>
    </cfRule>
    <cfRule type="containsText" dxfId="670" priority="554" operator="containsText" text="INATIVO">
      <formula>NOT(ISERROR(SEARCH(("INATIVO"),(#REF!))))</formula>
    </cfRule>
    <cfRule type="containsText" dxfId="669" priority="559" operator="containsText" text="ROTA">
      <formula>NOT(ISERROR(SEARCH(("ROTA"),(#REF!))))</formula>
    </cfRule>
    <cfRule type="containsText" dxfId="668" priority="564" operator="containsText" text="5X2">
      <formula>NOT(ISERROR(SEARCH(("5X2"),(#REF!))))</formula>
    </cfRule>
    <cfRule type="containsText" dxfId="667" priority="580" operator="containsText" text="ATIVO">
      <formula>NOT(ISERROR(SEARCH(("ATIVO"),(#REF!))))</formula>
    </cfRule>
    <cfRule type="containsText" dxfId="666" priority="581" operator="containsText" text="INATIVO">
      <formula>NOT(ISERROR(SEARCH(("INATIVO"),(#REF!))))</formula>
    </cfRule>
    <cfRule type="containsText" dxfId="665" priority="582" operator="containsText" text="ATIVO">
      <formula>NOT(ISERROR(SEARCH(("ATIVO"),(#REF!))))</formula>
    </cfRule>
    <cfRule type="containsText" dxfId="664" priority="583" operator="containsText" text="INATIVO">
      <formula>NOT(ISERROR(SEARCH(("INATIVO"),(#REF!))))</formula>
    </cfRule>
    <cfRule type="containsText" dxfId="663" priority="587" operator="containsText" text="ROTA">
      <formula>NOT(ISERROR(SEARCH(("ROTA"),(#REF!))))</formula>
    </cfRule>
    <cfRule type="containsText" dxfId="662" priority="592" operator="containsText" text="5X2">
      <formula>NOT(ISERROR(SEARCH(("5X2"),(#REF!))))</formula>
    </cfRule>
  </conditionalFormatting>
  <conditionalFormatting sqref="B43:B46">
    <cfRule type="containsText" dxfId="661" priority="476" operator="containsText" text="ATIVO">
      <formula>NOT(ISERROR(SEARCH(("ATIVO"),(#REF!))))</formula>
    </cfRule>
    <cfRule type="containsText" dxfId="660" priority="479" operator="containsText" text="ATIVO">
      <formula>NOT(ISERROR(SEARCH(("ATIVO"),(#REF!))))</formula>
    </cfRule>
    <cfRule type="containsText" dxfId="659" priority="480" operator="containsText" text="INATIVO">
      <formula>NOT(ISERROR(SEARCH(("INATIVO"),(#REF!))))</formula>
    </cfRule>
    <cfRule type="containsText" dxfId="658" priority="481" operator="containsText" text="ATIVO">
      <formula>NOT(ISERROR(SEARCH(("ATIVO"),(#REF!))))</formula>
    </cfRule>
    <cfRule type="containsText" dxfId="657" priority="482" operator="containsText" text="INATIVO">
      <formula>NOT(ISERROR(SEARCH(("INATIVO"),(#REF!))))</formula>
    </cfRule>
    <cfRule type="containsText" dxfId="656" priority="487" operator="containsText" text="ROTA">
      <formula>NOT(ISERROR(SEARCH(("ROTA"),(#REF!))))</formula>
    </cfRule>
    <cfRule type="containsText" dxfId="655" priority="492" operator="containsText" text="5X2">
      <formula>NOT(ISERROR(SEARCH(("5X2"),(#REF!))))</formula>
    </cfRule>
    <cfRule type="containsText" dxfId="654" priority="508" operator="containsText" text="ATIVO">
      <formula>NOT(ISERROR(SEARCH(("ATIVO"),(#REF!))))</formula>
    </cfRule>
    <cfRule type="containsText" dxfId="653" priority="509" operator="containsText" text="INATIVO">
      <formula>NOT(ISERROR(SEARCH(("INATIVO"),(#REF!))))</formula>
    </cfRule>
    <cfRule type="containsText" dxfId="652" priority="510" operator="containsText" text="ATIVO">
      <formula>NOT(ISERROR(SEARCH(("ATIVO"),(#REF!))))</formula>
    </cfRule>
    <cfRule type="containsText" dxfId="651" priority="511" operator="containsText" text="INATIVO">
      <formula>NOT(ISERROR(SEARCH(("INATIVO"),(#REF!))))</formula>
    </cfRule>
    <cfRule type="containsText" dxfId="650" priority="515" operator="containsText" text="ROTA">
      <formula>NOT(ISERROR(SEARCH(("ROTA"),(#REF!))))</formula>
    </cfRule>
    <cfRule type="containsText" dxfId="649" priority="520" operator="containsText" text="5X2">
      <formula>NOT(ISERROR(SEARCH(("5X2"),(#REF!))))</formula>
    </cfRule>
    <cfRule type="containsText" dxfId="648" priority="527" operator="containsText" text="ATIVO">
      <formula>NOT(ISERROR(SEARCH(("ATIVO"),(#REF!))))</formula>
    </cfRule>
  </conditionalFormatting>
  <conditionalFormatting sqref="B47:B48 B50:B53">
    <cfRule type="containsText" dxfId="647" priority="407" operator="containsText" text="ATIVO">
      <formula>NOT(ISERROR(SEARCH(("ATIVO"),(#REF!))))</formula>
    </cfRule>
    <cfRule type="containsText" dxfId="646" priority="409" operator="containsText" text="ATIVO">
      <formula>NOT(ISERROR(SEARCH(("ATIVO"),(#REF!))))</formula>
    </cfRule>
    <cfRule type="containsText" dxfId="645" priority="410" operator="containsText" text="INATIVO">
      <formula>NOT(ISERROR(SEARCH(("INATIVO"),(#REF!))))</formula>
    </cfRule>
    <cfRule type="containsText" dxfId="644" priority="411" operator="containsText" text="ATIVO">
      <formula>NOT(ISERROR(SEARCH(("ATIVO"),(#REF!))))</formula>
    </cfRule>
    <cfRule type="containsText" dxfId="643" priority="412" operator="containsText" text="INATIVO">
      <formula>NOT(ISERROR(SEARCH(("INATIVO"),(#REF!))))</formula>
    </cfRule>
    <cfRule type="containsText" dxfId="642" priority="417" operator="containsText" text="ROTA">
      <formula>NOT(ISERROR(SEARCH(("ROTA"),(#REF!))))</formula>
    </cfRule>
    <cfRule type="containsText" dxfId="641" priority="422" operator="containsText" text="5X2">
      <formula>NOT(ISERROR(SEARCH(("5X2"),(#REF!))))</formula>
    </cfRule>
    <cfRule type="containsText" dxfId="640" priority="438" operator="containsText" text="ATIVO">
      <formula>NOT(ISERROR(SEARCH(("ATIVO"),(#REF!))))</formula>
    </cfRule>
    <cfRule type="containsText" dxfId="639" priority="439" operator="containsText" text="INATIVO">
      <formula>NOT(ISERROR(SEARCH(("INATIVO"),(#REF!))))</formula>
    </cfRule>
    <cfRule type="containsText" dxfId="638" priority="440" operator="containsText" text="ATIVO">
      <formula>NOT(ISERROR(SEARCH(("ATIVO"),(#REF!))))</formula>
    </cfRule>
    <cfRule type="containsText" dxfId="637" priority="441" operator="containsText" text="INATIVO">
      <formula>NOT(ISERROR(SEARCH(("INATIVO"),(#REF!))))</formula>
    </cfRule>
    <cfRule type="containsText" dxfId="636" priority="445" operator="containsText" text="ROTA">
      <formula>NOT(ISERROR(SEARCH(("ROTA"),(#REF!))))</formula>
    </cfRule>
    <cfRule type="containsText" dxfId="635" priority="450" operator="containsText" text="5X2">
      <formula>NOT(ISERROR(SEARCH(("5X2"),(#REF!))))</formula>
    </cfRule>
    <cfRule type="containsText" dxfId="634" priority="456" operator="containsText" text="ATIVO">
      <formula>NOT(ISERROR(SEARCH(("ATIVO"),(#REF!))))</formula>
    </cfRule>
  </conditionalFormatting>
  <conditionalFormatting sqref="B49">
    <cfRule type="containsText" dxfId="633" priority="13" operator="containsText" text="ATIVO">
      <formula>NOT(ISERROR(SEARCH(("ATIVO"),(#REF!))))</formula>
    </cfRule>
    <cfRule type="containsText" dxfId="632" priority="17" operator="containsText" text="ATIVO">
      <formula>NOT(ISERROR(SEARCH(("ATIVO"),(#REF!))))</formula>
    </cfRule>
    <cfRule type="containsText" dxfId="631" priority="19" operator="containsText" text="ATIVO">
      <formula>NOT(ISERROR(SEARCH(("ATIVO"),(#REF!))))</formula>
    </cfRule>
    <cfRule type="containsText" dxfId="630" priority="30" operator="containsText" text="ROTA">
      <formula>NOT(ISERROR(SEARCH(("ROTA"),(#REF!))))</formula>
    </cfRule>
    <cfRule type="containsText" dxfId="629" priority="32" operator="containsText" text="5X2">
      <formula>NOT(ISERROR(SEARCH(("5X2"),(#REF!))))</formula>
    </cfRule>
  </conditionalFormatting>
  <conditionalFormatting sqref="B61">
    <cfRule type="containsText" dxfId="628" priority="338" operator="containsText" text="ATIVO">
      <formula>NOT(ISERROR(SEARCH(("ATIVO"),(#REF!))))</formula>
    </cfRule>
    <cfRule type="containsText" dxfId="627" priority="341" operator="containsText" text="ATIVO">
      <formula>NOT(ISERROR(SEARCH(("ATIVO"),(#REF!))))</formula>
    </cfRule>
    <cfRule type="containsText" dxfId="626" priority="342" operator="containsText" text="INATIVO">
      <formula>NOT(ISERROR(SEARCH(("INATIVO"),(#REF!))))</formula>
    </cfRule>
    <cfRule type="containsText" dxfId="625" priority="343" operator="containsText" text="ATIVO">
      <formula>NOT(ISERROR(SEARCH(("ATIVO"),(#REF!))))</formula>
    </cfRule>
    <cfRule type="containsText" dxfId="624" priority="344" operator="containsText" text="INATIVO">
      <formula>NOT(ISERROR(SEARCH(("INATIVO"),(#REF!))))</formula>
    </cfRule>
    <cfRule type="containsText" dxfId="623" priority="349" operator="containsText" text="ROTA">
      <formula>NOT(ISERROR(SEARCH(("ROTA"),(#REF!))))</formula>
    </cfRule>
    <cfRule type="containsText" dxfId="622" priority="354" operator="containsText" text="5X2">
      <formula>NOT(ISERROR(SEARCH(("5X2"),(#REF!))))</formula>
    </cfRule>
    <cfRule type="containsText" dxfId="621" priority="370" operator="containsText" text="ATIVO">
      <formula>NOT(ISERROR(SEARCH(("ATIVO"),(#REF!))))</formula>
    </cfRule>
    <cfRule type="containsText" dxfId="620" priority="371" operator="containsText" text="INATIVO">
      <formula>NOT(ISERROR(SEARCH(("INATIVO"),(#REF!))))</formula>
    </cfRule>
    <cfRule type="containsText" dxfId="619" priority="372" operator="containsText" text="ATIVO">
      <formula>NOT(ISERROR(SEARCH(("ATIVO"),(#REF!))))</formula>
    </cfRule>
    <cfRule type="containsText" dxfId="618" priority="373" operator="containsText" text="INATIVO">
      <formula>NOT(ISERROR(SEARCH(("INATIVO"),(#REF!))))</formula>
    </cfRule>
    <cfRule type="containsText" dxfId="617" priority="377" operator="containsText" text="ROTA">
      <formula>NOT(ISERROR(SEARCH(("ROTA"),(#REF!))))</formula>
    </cfRule>
    <cfRule type="containsText" dxfId="616" priority="382" operator="containsText" text="5X2">
      <formula>NOT(ISERROR(SEARCH(("5X2"),(#REF!))))</formula>
    </cfRule>
    <cfRule type="containsText" dxfId="615" priority="389" operator="containsText" text="ATIVO">
      <formula>NOT(ISERROR(SEARCH(("ATIVO"),(#REF!))))</formula>
    </cfRule>
  </conditionalFormatting>
  <conditionalFormatting sqref="B63:B66">
    <cfRule type="containsText" dxfId="614" priority="265" operator="containsText" text="ATIVO">
      <formula>NOT(ISERROR(SEARCH(("ATIVO"),(#REF!))))</formula>
    </cfRule>
    <cfRule type="containsText" dxfId="613" priority="268" operator="containsText" text="ATIVO">
      <formula>NOT(ISERROR(SEARCH(("ATIVO"),(#REF!))))</formula>
    </cfRule>
    <cfRule type="containsText" dxfId="612" priority="269" operator="containsText" text="INATIVO">
      <formula>NOT(ISERROR(SEARCH(("INATIVO"),(#REF!))))</formula>
    </cfRule>
    <cfRule type="containsText" dxfId="611" priority="270" operator="containsText" text="ATIVO">
      <formula>NOT(ISERROR(SEARCH(("ATIVO"),(#REF!))))</formula>
    </cfRule>
    <cfRule type="containsText" dxfId="610" priority="271" operator="containsText" text="INATIVO">
      <formula>NOT(ISERROR(SEARCH(("INATIVO"),(#REF!))))</formula>
    </cfRule>
    <cfRule type="containsText" dxfId="609" priority="275" operator="containsText" text="INATIVO">
      <formula>NOT(ISERROR(SEARCH(("INATIVO"),(#REF!))))</formula>
    </cfRule>
    <cfRule type="containsText" dxfId="608" priority="277" operator="containsText" text="ROTA">
      <formula>NOT(ISERROR(SEARCH(("ROTA"),(#REF!))))</formula>
    </cfRule>
    <cfRule type="containsText" dxfId="607" priority="282" operator="containsText" text="5X2">
      <formula>NOT(ISERROR(SEARCH(("5X2"),(#REF!))))</formula>
    </cfRule>
    <cfRule type="containsText" dxfId="606" priority="298" operator="containsText" text="ATIVO">
      <formula>NOT(ISERROR(SEARCH(("ATIVO"),(#REF!))))</formula>
    </cfRule>
    <cfRule type="containsText" dxfId="605" priority="299" operator="containsText" text="INATIVO">
      <formula>NOT(ISERROR(SEARCH(("INATIVO"),(#REF!))))</formula>
    </cfRule>
    <cfRule type="containsText" dxfId="604" priority="300" operator="containsText" text="ATIVO">
      <formula>NOT(ISERROR(SEARCH(("ATIVO"),(#REF!))))</formula>
    </cfRule>
    <cfRule type="containsText" dxfId="603" priority="301" operator="containsText" text="INATIVO">
      <formula>NOT(ISERROR(SEARCH(("INATIVO"),(#REF!))))</formula>
    </cfRule>
    <cfRule type="containsText" dxfId="602" priority="305" operator="containsText" text="ROTA">
      <formula>NOT(ISERROR(SEARCH(("ROTA"),(#REF!))))</formula>
    </cfRule>
    <cfRule type="containsText" dxfId="601" priority="310" operator="containsText" text="5X2">
      <formula>NOT(ISERROR(SEARCH(("5X2"),(#REF!))))</formula>
    </cfRule>
    <cfRule type="containsText" dxfId="600" priority="317" operator="containsText" text="ATIVO">
      <formula>NOT(ISERROR(SEARCH(("ATIVO"),(#REF!))))</formula>
    </cfRule>
    <cfRule type="containsText" dxfId="599" priority="320" operator="containsText" text="INATIVO">
      <formula>NOT(ISERROR(SEARCH(("INATIVO"),(#REF!))))</formula>
    </cfRule>
  </conditionalFormatting>
  <conditionalFormatting sqref="B2:AF2 B3:B4 A22:B22 A24:B30 A32:B32 A33 A34:B34 A38:B40 A42:B42 E68:AH68 E31:AO32 D31:D68 R57:R58 Y57:Y60 AG2:AH30 D3:AF30 C3:C67 E58:Q67 A54:B55">
    <cfRule type="containsText" dxfId="598" priority="792" operator="containsText" text="5X2">
      <formula>NOT(ISERROR(SEARCH(("5X2"),(#REF!))))</formula>
    </cfRule>
  </conditionalFormatting>
  <conditionalFormatting sqref="B2:AF2 AG2:AH30 D3:AF30 C3:C67 E31:AO32 D31:D68 E33:AH57 R58 Y58:Y60 E58:Q67 E68:AH68">
    <cfRule type="containsText" dxfId="597" priority="744" operator="containsText" text="5X2">
      <formula>NOT(ISERROR(SEARCH(("5X2"),(#REF!))))</formula>
    </cfRule>
  </conditionalFormatting>
  <conditionalFormatting sqref="B2:AF2 AG2:AH30 D3:AF30 E68:AH68 A8:B18 A22:B22 A24:B30 A32:B32 D32 F32 H32 J32 L32 N32 P32 R32 T32 V32 X32 Z32 AB32 AD32 AF32 AH32 A33 A34:B34 A38:B40 A42:B42">
    <cfRule type="containsText" dxfId="596" priority="823" operator="containsText" text="INATIVO">
      <formula>NOT(ISERROR(SEARCH(("INATIVO"),(#REF!))))</formula>
    </cfRule>
  </conditionalFormatting>
  <conditionalFormatting sqref="D32 F32 H32 J32 L32 N32 P32 R32 T32 V32 X32 Z32 AB32 AD32 AF32 AH32 D33:H56 I33:AH57 E57:H57 A22:B22 A24:B30 A32:B32 A33 A34:B34 A38:B40 A42:B42 A56:A57 A8:B16">
    <cfRule type="containsText" dxfId="595" priority="790" operator="containsText" text="INDISPONÍVEL">
      <formula>NOT(ISERROR(SEARCH(("INDISPONÍVEL"),(#REF!))))</formula>
    </cfRule>
  </conditionalFormatting>
  <conditionalFormatting sqref="D46">
    <cfRule type="containsText" dxfId="594" priority="214" operator="containsText" text="SIM">
      <formula>NOT(ISERROR(SEARCH("SIM",D46)))</formula>
    </cfRule>
  </conditionalFormatting>
  <conditionalFormatting sqref="D2:AH30 C3:C67 E31:AO32 D31:D68 E33:AH57 R58 Y58:Y60 E58:Q67 A54:A57 A3:A5">
    <cfRule type="containsText" dxfId="593" priority="746" operator="containsText" text="ATIVO">
      <formula>NOT(ISERROR(SEARCH(("ATIVO"),(#REF!))))</formula>
    </cfRule>
  </conditionalFormatting>
  <conditionalFormatting sqref="D2:AH30 C30:C32 D31:AO32 D33:AH68">
    <cfRule type="containsText" dxfId="592" priority="224" operator="containsText" text="ATESTADO">
      <formula>NOT(ISERROR(SEARCH("ATESTADO",C2)))</formula>
    </cfRule>
  </conditionalFormatting>
  <conditionalFormatting sqref="D2:AH30 D33:AH68 D31:AO32">
    <cfRule type="containsText" dxfId="591" priority="217" operator="containsText" text="INTEGR">
      <formula>NOT(ISERROR(SEARCH("INTEGR",D2)))</formula>
    </cfRule>
  </conditionalFormatting>
  <conditionalFormatting sqref="D2:AH30 D31:AO32 D33:AH68 C30:C32">
    <cfRule type="containsText" dxfId="590" priority="222" operator="containsText" text="FÉRIAS">
      <formula>NOT(ISERROR(SEARCH("FÉRIAS",C2)))</formula>
    </cfRule>
    <cfRule type="containsText" dxfId="589" priority="223" operator="containsText" text="FERIAS">
      <formula>NOT(ISERROR(SEARCH("FERIAS",C2)))</formula>
    </cfRule>
  </conditionalFormatting>
  <conditionalFormatting sqref="D2:AH30 D31:AO32 D33:AH68">
    <cfRule type="containsText" dxfId="588" priority="219" operator="containsText" text="MDT">
      <formula>NOT(ISERROR(SEARCH("MDT",D2)))</formula>
    </cfRule>
    <cfRule type="containsText" dxfId="587" priority="220" operator="containsText" text="FALTA">
      <formula>NOT(ISERROR(SEARCH("FALTA",D2)))</formula>
    </cfRule>
    <cfRule type="containsText" dxfId="586" priority="221" operator="containsText" text="MANOBRA">
      <formula>NOT(ISERROR(SEARCH("MANOBRA",D2)))</formula>
    </cfRule>
  </conditionalFormatting>
  <conditionalFormatting sqref="D2:AH30">
    <cfRule type="containsText" dxfId="585" priority="226" operator="containsText" text="SIM">
      <formula>NOT(ISERROR(SEARCH("SIM",D2)))</formula>
    </cfRule>
  </conditionalFormatting>
  <conditionalFormatting sqref="D33:AH68">
    <cfRule type="containsText" dxfId="584" priority="225" operator="containsText" text="SIM">
      <formula>NOT(ISERROR(SEARCH("SIM",D33)))</formula>
    </cfRule>
  </conditionalFormatting>
  <conditionalFormatting sqref="E68:AH68 C30:C32 E58:Q67 R58 Y58:Y60 E2:AH30 D2:D68 E31:AO32 E33:AH57">
    <cfRule type="colorScale" priority="843">
      <colorScale>
        <cfvo type="min"/>
        <cfvo type="max"/>
        <color rgb="FFFFEF9C"/>
        <color rgb="FF63BE7B"/>
      </colorScale>
    </cfRule>
  </conditionalFormatting>
  <conditionalFormatting sqref="E31:AO32 D31:D68 A54:B55 A56:A57 A2">
    <cfRule type="containsText" dxfId="583" priority="742" operator="containsText" text="INATIVO">
      <formula>NOT(ISERROR(SEARCH(("INATIVO"),(#REF!))))</formula>
    </cfRule>
  </conditionalFormatting>
  <conditionalFormatting sqref="E31:AO32 D31:D68 B2:AF2 AG2:AH30 D3:AF30 C3:C67 E33:AH57 R58 Y58:Y60 E58:Q67 E68:AH68">
    <cfRule type="containsText" dxfId="582" priority="743" operator="containsText" text="ROTA">
      <formula>NOT(ISERROR(SEARCH(("ROTA"),(#REF!))))</formula>
    </cfRule>
  </conditionalFormatting>
  <conditionalFormatting sqref="J2:T2">
    <cfRule type="containsText" dxfId="581" priority="138" operator="containsText" text="SIM">
      <formula>NOT(ISERROR(SEARCH("SIM",J2)))</formula>
    </cfRule>
    <cfRule type="containsText" dxfId="580" priority="139" operator="containsText" text="INATIVO">
      <formula>NOT(ISERROR(SEARCH(("INATIVO"),(#REF!))))</formula>
    </cfRule>
    <cfRule type="containsText" dxfId="579" priority="141" operator="containsText" text="ATIVO">
      <formula>NOT(ISERROR(SEARCH(("ATIVO"),(#REF!))))</formula>
    </cfRule>
    <cfRule type="containsText" dxfId="578" priority="142" operator="containsText" text="INATIVO">
      <formula>NOT(ISERROR(SEARCH(("INATIVO"),(#REF!))))</formula>
    </cfRule>
    <cfRule type="containsText" dxfId="577" priority="143" operator="containsText" text="ATIVO">
      <formula>NOT(ISERROR(SEARCH(("ATIVO"),(#REF!))))</formula>
    </cfRule>
  </conditionalFormatting>
  <conditionalFormatting sqref="J23:AH23">
    <cfRule type="containsText" dxfId="576" priority="46" operator="containsText" text="SIM">
      <formula>NOT(ISERROR(SEARCH("SIM",J23)))</formula>
    </cfRule>
  </conditionalFormatting>
  <conditionalFormatting sqref="J25:AH25">
    <cfRule type="containsText" dxfId="575" priority="213" operator="containsText" text="SIM">
      <formula>NOT(ISERROR(SEARCH("SIM",J25)))</formula>
    </cfRule>
  </conditionalFormatting>
  <conditionalFormatting sqref="N6:T6">
    <cfRule type="containsText" dxfId="574" priority="146" operator="containsText" text="SIM">
      <formula>NOT(ISERROR(SEARCH("SIM",N6)))</formula>
    </cfRule>
  </conditionalFormatting>
  <conditionalFormatting sqref="R6">
    <cfRule type="containsText" dxfId="573" priority="211" operator="containsText" text="INATIVO">
      <formula>NOT(ISERROR(SEARCH(("INATIVO"),(#REF!))))</formula>
    </cfRule>
    <cfRule type="containsText" dxfId="572" priority="212" operator="containsText" text="ATIVO">
      <formula>NOT(ISERROR(SEARCH(("ATIVO"),(#REF!))))</formula>
    </cfRule>
  </conditionalFormatting>
  <conditionalFormatting sqref="R23">
    <cfRule type="containsText" dxfId="571" priority="114" operator="containsText" text="ROTA">
      <formula>NOT(ISERROR(SEARCH(("ROTA"),(#REF!))))</formula>
    </cfRule>
    <cfRule type="containsText" dxfId="570" priority="115" operator="containsText" text="ATIVO">
      <formula>NOT(ISERROR(SEARCH(("ATIVO"),(#REF!))))</formula>
    </cfRule>
    <cfRule type="containsText" dxfId="569" priority="116" operator="containsText" text="5X2">
      <formula>NOT(ISERROR(SEARCH(("5X2"),(#REF!))))</formula>
    </cfRule>
    <cfRule type="containsText" dxfId="568" priority="117" operator="containsText" text="INATIVO">
      <formula>NOT(ISERROR(SEARCH(("INATIVO"),(#REF!))))</formula>
    </cfRule>
    <cfRule type="containsText" dxfId="567" priority="118" operator="containsText" text="ROTA">
      <formula>NOT(ISERROR(SEARCH(("ROTA"),(#REF!))))</formula>
    </cfRule>
    <cfRule type="containsText" dxfId="566" priority="119" operator="containsText" text="INDISPONÍVEL">
      <formula>NOT(ISERROR(SEARCH(("INDISPONÍVEL"),(#REF!))))</formula>
    </cfRule>
    <cfRule type="containsText" dxfId="565" priority="121" operator="containsText" text="ROTA">
      <formula>NOT(ISERROR(SEARCH(("ROTA"),(#REF!))))</formula>
    </cfRule>
    <cfRule type="containsText" dxfId="564" priority="122" operator="containsText" text="5X2">
      <formula>NOT(ISERROR(SEARCH(("5X2"),(#REF!))))</formula>
    </cfRule>
    <cfRule type="containsText" dxfId="563" priority="123" operator="containsText" text="INATIVO">
      <formula>NOT(ISERROR(SEARCH(("INATIVO"),(#REF!))))</formula>
    </cfRule>
    <cfRule type="containsText" dxfId="562" priority="124" operator="containsText" text="ROTA">
      <formula>NOT(ISERROR(SEARCH(("ROTA"),(#REF!))))</formula>
    </cfRule>
    <cfRule type="containsText" dxfId="561" priority="125" operator="containsText" text="ATIVO">
      <formula>NOT(ISERROR(SEARCH(("ATIVO"),(#REF!))))</formula>
    </cfRule>
    <cfRule type="containsText" dxfId="560" priority="126" operator="containsText" text="5X2">
      <formula>NOT(ISERROR(SEARCH(("5X2"),(R23))))</formula>
    </cfRule>
    <cfRule type="containsText" dxfId="559" priority="127" operator="containsText" text="INATIVO">
      <formula>NOT(ISERROR(SEARCH(("INATIVO"),(R23))))</formula>
    </cfRule>
    <cfRule type="containsText" dxfId="558" priority="128" operator="containsText" text="ATIVO">
      <formula>NOT(ISERROR(SEARCH(("ATIVO"),(R23))))</formula>
    </cfRule>
    <cfRule type="containsText" dxfId="557" priority="129" operator="containsText" text="INDISPONÍVEL">
      <formula>NOT(ISERROR(SEARCH(("INDISPONÍVEL"),(R23))))</formula>
    </cfRule>
    <cfRule type="containsText" dxfId="556" priority="130" operator="containsText" text="ROTA">
      <formula>NOT(ISERROR(SEARCH(("ROTA"),(R23))))</formula>
    </cfRule>
    <cfRule type="containsText" dxfId="555" priority="131" operator="containsText" text="INTEGRAÇÃO">
      <formula>NOT(ISERROR(SEARCH(("INTEGRAÇÃO"),(R23))))</formula>
    </cfRule>
    <cfRule type="containsText" dxfId="554" priority="132" operator="containsText" text="ATIVO">
      <formula>NOT(ISERROR(SEARCH(("ATIVO"),(#REF!))))</formula>
    </cfRule>
    <cfRule type="cellIs" dxfId="553" priority="133" operator="equal">
      <formula>"INDISPONIVEL"</formula>
    </cfRule>
    <cfRule type="containsText" dxfId="552" priority="134" operator="containsText" text="INATIVO">
      <formula>NOT(ISERROR(SEARCH(("INATIVO"),(R23))))</formula>
    </cfRule>
    <cfRule type="containsText" dxfId="551" priority="135" operator="containsText" text="INTEGRAÇÃO">
      <formula>NOT(ISERROR(SEARCH(("INTEGRAÇÃO"),(#REF!))))</formula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max"/>
        <color rgb="FFFFEF9C"/>
        <color rgb="FF63BE7B"/>
      </colorScale>
    </cfRule>
  </conditionalFormatting>
  <conditionalFormatting sqref="R6:S6">
    <cfRule type="containsText" dxfId="550" priority="204" operator="containsText" text="ATIVO">
      <formula>NOT(ISERROR(SEARCH(("ATIVO"),(#REF!))))</formula>
    </cfRule>
  </conditionalFormatting>
  <conditionalFormatting sqref="R23:S23">
    <cfRule type="containsText" dxfId="549" priority="88" operator="containsText" text="INATIVO">
      <formula>NOT(ISERROR(SEARCH(("INATIVO"),(#REF!))))</formula>
    </cfRule>
    <cfRule type="containsText" dxfId="548" priority="105" operator="containsText" text="ATIVO">
      <formula>NOT(ISERROR(SEARCH(("ATIVO"),(#REF!))))</formula>
    </cfRule>
    <cfRule type="containsText" dxfId="547" priority="108" operator="containsText" text="INTEGRAÇÃO">
      <formula>NOT(ISERROR(SEARCH(("INTEGRAÇÃO"),(#REF!))))</formula>
    </cfRule>
  </conditionalFormatting>
  <conditionalFormatting sqref="R6:T6">
    <cfRule type="containsText" dxfId="546" priority="147" operator="containsText" text="INATIVO">
      <formula>NOT(ISERROR(SEARCH(("INATIVO"),(#REF!))))</formula>
    </cfRule>
  </conditionalFormatting>
  <conditionalFormatting sqref="R23:AH23">
    <cfRule type="containsText" dxfId="545" priority="47" operator="containsText" text="INATIVO">
      <formula>NOT(ISERROR(SEARCH(("INATIVO"),(#REF!))))</formula>
    </cfRule>
    <cfRule type="containsText" dxfId="544" priority="48" operator="containsText" text="ROTA">
      <formula>NOT(ISERROR(SEARCH(("ROTA"),(#REF!))))</formula>
    </cfRule>
    <cfRule type="containsText" dxfId="543" priority="49" operator="containsText" text="5X2">
      <formula>NOT(ISERROR(SEARCH(("5X2"),(#REF!))))</formula>
    </cfRule>
    <cfRule type="containsText" dxfId="542" priority="50" operator="containsText" text="ROTA">
      <formula>NOT(ISERROR(SEARCH(("ROTA"),(#REF!))))</formula>
    </cfRule>
    <cfRule type="containsText" dxfId="541" priority="51" operator="containsText" text="ATIVO">
      <formula>NOT(ISERROR(SEARCH(("ATIVO"),(#REF!))))</formula>
    </cfRule>
    <cfRule type="containsText" dxfId="540" priority="76" operator="containsText" text="ATIVO">
      <formula>NOT(ISERROR(SEARCH(("ATIVO"),(#REF!))))</formula>
    </cfRule>
  </conditionalFormatting>
  <conditionalFormatting sqref="S2:S30 U2:U30 W2:W30 Y2:Y30 AA2:AA30 AC2:AC30 AE2:AE30 A54:B55 M3:R4 T3:T4 V3:V4 X3:X4 Z3:Z4 AB3:AB4 AD3:AD4 AF3:AF4 AH4 M5:Q30 T6:T7 V6:V7 X6:X7 Z6:Z7 AB6:AB7 AD6:AD7 AF6:AF7 AH6:AH7 R11:R12 T11:T14 V11:V14 X11:X14 Z11:Z14 AB11:AB14 AD11:AD14 AF11:AF14 AH11:AH14 R14 T20:T21 V20:V21 X20:X21 Z20:Z21 AB20:AB21 AD20:AD21 AF20:AF21 AH20:AH21 R21 R25 T25 V25 X25 Z25 AB25 AD25 AF25 AH25 T27:T28 V27:V28 X27:X28 Z27:Z28 AB27:AB28 AD27:AD28 AF27:AF28 AH27:AH28">
    <cfRule type="containsText" dxfId="539" priority="753" operator="containsText" text="INATIVO">
      <formula>NOT(ISERROR(SEARCH(("INATIVO"),(#REF!))))</formula>
    </cfRule>
  </conditionalFormatting>
  <conditionalFormatting sqref="S6">
    <cfRule type="containsText" dxfId="538" priority="186" operator="containsText" text="ROTA">
      <formula>NOT(ISERROR(SEARCH(("ROTA"),(#REF!))))</formula>
    </cfRule>
    <cfRule type="containsText" dxfId="537" priority="187" operator="containsText" text="ATIVO">
      <formula>NOT(ISERROR(SEARCH(("ATIVO"),(#REF!))))</formula>
    </cfRule>
    <cfRule type="containsText" dxfId="536" priority="188" operator="containsText" text="5X2">
      <formula>NOT(ISERROR(SEARCH(("5X2"),(#REF!))))</formula>
    </cfRule>
    <cfRule type="containsText" dxfId="535" priority="189" operator="containsText" text="INATIVO">
      <formula>NOT(ISERROR(SEARCH(("INATIVO"),(#REF!))))</formula>
    </cfRule>
    <cfRule type="containsText" dxfId="534" priority="190" operator="containsText" text="ROTA">
      <formula>NOT(ISERROR(SEARCH(("ROTA"),(#REF!))))</formula>
    </cfRule>
    <cfRule type="containsText" dxfId="533" priority="191" operator="containsText" text="INDISPONÍVEL">
      <formula>NOT(ISERROR(SEARCH(("INDISPONÍVEL"),(#REF!))))</formula>
    </cfRule>
    <cfRule type="containsText" dxfId="532" priority="193" operator="containsText" text="ROTA">
      <formula>NOT(ISERROR(SEARCH(("ROTA"),(#REF!))))</formula>
    </cfRule>
    <cfRule type="containsText" dxfId="531" priority="194" operator="containsText" text="5X2">
      <formula>NOT(ISERROR(SEARCH(("5X2"),(#REF!))))</formula>
    </cfRule>
    <cfRule type="containsText" dxfId="530" priority="195" operator="containsText" text="INATIVO">
      <formula>NOT(ISERROR(SEARCH(("INATIVO"),(#REF!))))</formula>
    </cfRule>
    <cfRule type="containsText" dxfId="529" priority="196" operator="containsText" text="ROTA">
      <formula>NOT(ISERROR(SEARCH(("ROTA"),(#REF!))))</formula>
    </cfRule>
    <cfRule type="containsText" dxfId="528" priority="197" operator="containsText" text="ATIVO">
      <formula>NOT(ISERROR(SEARCH(("ATIVO"),(#REF!))))</formula>
    </cfRule>
    <cfRule type="containsText" dxfId="527" priority="198" operator="containsText" text="5X2">
      <formula>NOT(ISERROR(SEARCH(("5X2"),(S6))))</formula>
    </cfRule>
    <cfRule type="containsText" dxfId="526" priority="199" operator="containsText" text="INATIVO">
      <formula>NOT(ISERROR(SEARCH(("INATIVO"),(S6))))</formula>
    </cfRule>
    <cfRule type="containsText" dxfId="525" priority="200" operator="containsText" text="ATIVO">
      <formula>NOT(ISERROR(SEARCH(("ATIVO"),(S6))))</formula>
    </cfRule>
    <cfRule type="containsText" dxfId="524" priority="201" operator="containsText" text="INDISPONÍVEL">
      <formula>NOT(ISERROR(SEARCH(("INDISPONÍVEL"),(S6))))</formula>
    </cfRule>
    <cfRule type="containsText" dxfId="523" priority="202" operator="containsText" text="ROTA">
      <formula>NOT(ISERROR(SEARCH(("ROTA"),(S6))))</formula>
    </cfRule>
    <cfRule type="containsText" dxfId="522" priority="203" operator="containsText" text="INTEGRAÇÃO">
      <formula>NOT(ISERROR(SEARCH(("INTEGRAÇÃO"),(S6))))</formula>
    </cfRule>
    <cfRule type="cellIs" dxfId="521" priority="205" operator="equal">
      <formula>"INDISPONIVEL"</formula>
    </cfRule>
    <cfRule type="containsText" dxfId="520" priority="206" operator="containsText" text="INATIVO">
      <formula>NOT(ISERROR(SEARCH(("INATIVO"),(S6))))</formula>
    </cfRule>
    <cfRule type="containsText" dxfId="519" priority="207" operator="containsText" text="INTEGRAÇÃO">
      <formula>NOT(ISERROR(SEARCH(("INTEGRAÇÃO"),(#REF!))))</formula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9">
      <colorScale>
        <cfvo type="min"/>
        <cfvo type="max"/>
        <color rgb="FFFFEF9C"/>
        <color rgb="FF63BE7B"/>
      </colorScale>
    </cfRule>
  </conditionalFormatting>
  <conditionalFormatting sqref="S23">
    <cfRule type="containsText" dxfId="518" priority="85" operator="containsText" text="ROTA">
      <formula>NOT(ISERROR(SEARCH(("ROTA"),(#REF!))))</formula>
    </cfRule>
    <cfRule type="containsText" dxfId="517" priority="86" operator="containsText" text="ATIVO">
      <formula>NOT(ISERROR(SEARCH(("ATIVO"),(#REF!))))</formula>
    </cfRule>
    <cfRule type="containsText" dxfId="516" priority="87" operator="containsText" text="5X2">
      <formula>NOT(ISERROR(SEARCH(("5X2"),(#REF!))))</formula>
    </cfRule>
    <cfRule type="containsText" dxfId="515" priority="89" operator="containsText" text="ROTA">
      <formula>NOT(ISERROR(SEARCH(("ROTA"),(#REF!))))</formula>
    </cfRule>
    <cfRule type="containsText" dxfId="514" priority="90" operator="containsText" text="INDISPONÍVEL">
      <formula>NOT(ISERROR(SEARCH(("INDISPONÍVEL"),(#REF!))))</formula>
    </cfRule>
    <cfRule type="containsText" dxfId="513" priority="93" operator="containsText" text="ROTA">
      <formula>NOT(ISERROR(SEARCH(("ROTA"),(#REF!))))</formula>
    </cfRule>
    <cfRule type="containsText" dxfId="512" priority="94" operator="containsText" text="5X2">
      <formula>NOT(ISERROR(SEARCH(("5X2"),(#REF!))))</formula>
    </cfRule>
    <cfRule type="containsText" dxfId="511" priority="96" operator="containsText" text="INATIVO">
      <formula>NOT(ISERROR(SEARCH(("INATIVO"),(#REF!))))</formula>
    </cfRule>
    <cfRule type="containsText" dxfId="510" priority="97" operator="containsText" text="ROTA">
      <formula>NOT(ISERROR(SEARCH(("ROTA"),(#REF!))))</formula>
    </cfRule>
    <cfRule type="containsText" dxfId="509" priority="98" operator="containsText" text="ATIVO">
      <formula>NOT(ISERROR(SEARCH(("ATIVO"),(#REF!))))</formula>
    </cfRule>
    <cfRule type="containsText" dxfId="508" priority="99" operator="containsText" text="5X2">
      <formula>NOT(ISERROR(SEARCH(("5X2"),(S23))))</formula>
    </cfRule>
    <cfRule type="containsText" dxfId="507" priority="100" operator="containsText" text="INATIVO">
      <formula>NOT(ISERROR(SEARCH(("INATIVO"),(S23))))</formula>
    </cfRule>
    <cfRule type="containsText" dxfId="506" priority="101" operator="containsText" text="ATIVO">
      <formula>NOT(ISERROR(SEARCH(("ATIVO"),(S23))))</formula>
    </cfRule>
    <cfRule type="containsText" dxfId="505" priority="102" operator="containsText" text="INDISPONÍVEL">
      <formula>NOT(ISERROR(SEARCH(("INDISPONÍVEL"),(S23))))</formula>
    </cfRule>
    <cfRule type="containsText" dxfId="504" priority="103" operator="containsText" text="ROTA">
      <formula>NOT(ISERROR(SEARCH(("ROTA"),(S23))))</formula>
    </cfRule>
    <cfRule type="containsText" dxfId="503" priority="104" operator="containsText" text="INTEGRAÇÃO">
      <formula>NOT(ISERROR(SEARCH(("INTEGRAÇÃO"),(S23))))</formula>
    </cfRule>
    <cfRule type="cellIs" dxfId="502" priority="106" operator="equal">
      <formula>"INDISPONIVEL"</formula>
    </cfRule>
    <cfRule type="containsText" dxfId="501" priority="107" operator="containsText" text="INATIVO">
      <formula>NOT(ISERROR(SEARCH(("INATIVO"),(S23))))</formula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EF9C"/>
        <color rgb="FF63BE7B"/>
      </colorScale>
    </cfRule>
  </conditionalFormatting>
  <conditionalFormatting sqref="S6:T6">
    <cfRule type="containsText" dxfId="500" priority="149" operator="containsText" text="ROTA">
      <formula>NOT(ISERROR(SEARCH(("ROTA"),(#REF!))))</formula>
    </cfRule>
    <cfRule type="containsText" dxfId="499" priority="150" operator="containsText" text="5X2">
      <formula>NOT(ISERROR(SEARCH(("5X2"),(#REF!))))</formula>
    </cfRule>
    <cfRule type="containsText" dxfId="498" priority="151" operator="containsText" text="ROTA">
      <formula>NOT(ISERROR(SEARCH(("ROTA"),(#REF!))))</formula>
    </cfRule>
    <cfRule type="containsText" dxfId="497" priority="152" operator="containsText" text="ATIVO">
      <formula>NOT(ISERROR(SEARCH(("ATIVO"),(#REF!))))</formula>
    </cfRule>
    <cfRule type="containsText" dxfId="496" priority="156" operator="containsText" text="ATIVO">
      <formula>NOT(ISERROR(SEARCH(("ATIVO"),(#REF!))))</formula>
    </cfRule>
    <cfRule type="containsText" dxfId="495" priority="161" operator="containsText" text="INATIVO">
      <formula>NOT(ISERROR(SEARCH(("INATIVO"),(#REF!))))</formula>
    </cfRule>
    <cfRule type="containsText" dxfId="494" priority="171" operator="containsText" text="ATIVO">
      <formula>NOT(ISERROR(SEARCH(("ATIVO"),(#REF!))))</formula>
    </cfRule>
    <cfRule type="containsText" dxfId="493" priority="181" operator="containsText" text="INTEGRAÇÃO">
      <formula>NOT(ISERROR(SEARCH(("INTEGRAÇÃO"),(#REF!))))</formula>
    </cfRule>
  </conditionalFormatting>
  <conditionalFormatting sqref="S23:AH23">
    <cfRule type="containsText" dxfId="492" priority="55" operator="containsText" text="ATIVO">
      <formula>NOT(ISERROR(SEARCH(("ATIVO"),(#REF!))))</formula>
    </cfRule>
    <cfRule type="containsText" dxfId="491" priority="60" operator="containsText" text="INATIVO">
      <formula>NOT(ISERROR(SEARCH(("INATIVO"),(#REF!))))</formula>
    </cfRule>
    <cfRule type="containsText" dxfId="490" priority="79" operator="containsText" text="INTEGRAÇÃO">
      <formula>NOT(ISERROR(SEARCH(("INTEGRAÇÃO"),(#REF!))))</formula>
    </cfRule>
  </conditionalFormatting>
  <conditionalFormatting sqref="T6">
    <cfRule type="containsText" dxfId="489" priority="154" operator="containsText" text="INATIVO">
      <formula>NOT(ISERROR(SEARCH(("INATIVO"),(#REF!))))</formula>
    </cfRule>
    <cfRule type="containsText" dxfId="488" priority="157" operator="containsText" text="INTEGRAÇÃO">
      <formula>NOT(ISERROR(SEARCH(("INTEGRAÇÃO"),(#REF!))))</formula>
    </cfRule>
    <cfRule type="containsText" dxfId="487" priority="158" operator="containsText" text="ROTA">
      <formula>NOT(ISERROR(SEARCH(("ROTA"),(#REF!))))</formula>
    </cfRule>
    <cfRule type="containsText" dxfId="486" priority="159" operator="containsText" text="ATIVO">
      <formula>NOT(ISERROR(SEARCH(("ATIVO"),(#REF!))))</formula>
    </cfRule>
    <cfRule type="containsText" dxfId="485" priority="160" operator="containsText" text="5X2">
      <formula>NOT(ISERROR(SEARCH(("5X2"),(#REF!))))</formula>
    </cfRule>
    <cfRule type="containsText" dxfId="484" priority="162" operator="containsText" text="ROTA">
      <formula>NOT(ISERROR(SEARCH(("ROTA"),(#REF!))))</formula>
    </cfRule>
    <cfRule type="containsText" dxfId="483" priority="163" operator="containsText" text="INDISPONÍVEL">
      <formula>NOT(ISERROR(SEARCH(("INDISPONÍVEL"),(#REF!))))</formula>
    </cfRule>
    <cfRule type="containsText" dxfId="482" priority="166" operator="containsText" text="ROTA">
      <formula>NOT(ISERROR(SEARCH(("ROTA"),(#REF!))))</formula>
    </cfRule>
    <cfRule type="containsText" dxfId="481" priority="167" operator="containsText" text="5X2">
      <formula>NOT(ISERROR(SEARCH(("5X2"),(#REF!))))</formula>
    </cfRule>
    <cfRule type="containsText" dxfId="480" priority="169" operator="containsText" text="INATIVO">
      <formula>NOT(ISERROR(SEARCH(("INATIVO"),(#REF!))))</formula>
    </cfRule>
    <cfRule type="containsText" dxfId="479" priority="170" operator="containsText" text="ROTA">
      <formula>NOT(ISERROR(SEARCH(("ROTA"),(#REF!))))</formula>
    </cfRule>
    <cfRule type="containsText" dxfId="478" priority="172" operator="containsText" text="5X2">
      <formula>NOT(ISERROR(SEARCH(("5X2"),(T6))))</formula>
    </cfRule>
    <cfRule type="containsText" dxfId="477" priority="173" operator="containsText" text="INATIVO">
      <formula>NOT(ISERROR(SEARCH(("INATIVO"),(T6))))</formula>
    </cfRule>
    <cfRule type="containsText" dxfId="476" priority="174" operator="containsText" text="ATIVO">
      <formula>NOT(ISERROR(SEARCH(("ATIVO"),(T6))))</formula>
    </cfRule>
    <cfRule type="containsText" dxfId="475" priority="175" operator="containsText" text="INDISPONÍVEL">
      <formula>NOT(ISERROR(SEARCH(("INDISPONÍVEL"),(T6))))</formula>
    </cfRule>
    <cfRule type="containsText" dxfId="474" priority="176" operator="containsText" text="ROTA">
      <formula>NOT(ISERROR(SEARCH(("ROTA"),(T6))))</formula>
    </cfRule>
    <cfRule type="containsText" dxfId="473" priority="177" operator="containsText" text="INTEGRAÇÃO">
      <formula>NOT(ISERROR(SEARCH(("INTEGRAÇÃO"),(T6))))</formula>
    </cfRule>
    <cfRule type="containsText" dxfId="472" priority="178" operator="containsText" text="ATIVO">
      <formula>NOT(ISERROR(SEARCH(("ATIVO"),(#REF!))))</formula>
    </cfRule>
    <cfRule type="cellIs" dxfId="471" priority="179" operator="equal">
      <formula>"INDISPONIVEL"</formula>
    </cfRule>
    <cfRule type="containsText" dxfId="470" priority="180" operator="containsText" text="INATIVO">
      <formula>NOT(ISERROR(SEARCH(("INATIVO"),(T6))))</formula>
    </cfRule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3">
      <colorScale>
        <cfvo type="min"/>
        <cfvo type="max"/>
        <color rgb="FFFFEF9C"/>
        <color rgb="FF63BE7B"/>
      </colorScale>
    </cfRule>
  </conditionalFormatting>
  <conditionalFormatting sqref="T23:AH23">
    <cfRule type="containsText" dxfId="469" priority="53" operator="containsText" text="INATIVO">
      <formula>NOT(ISERROR(SEARCH(("INATIVO"),(#REF!))))</formula>
    </cfRule>
    <cfRule type="containsText" dxfId="468" priority="56" operator="containsText" text="INTEGRAÇÃO">
      <formula>NOT(ISERROR(SEARCH(("INTEGRAÇÃO"),(#REF!))))</formula>
    </cfRule>
    <cfRule type="containsText" dxfId="467" priority="57" operator="containsText" text="ROTA">
      <formula>NOT(ISERROR(SEARCH(("ROTA"),(#REF!))))</formula>
    </cfRule>
    <cfRule type="containsText" dxfId="466" priority="58" operator="containsText" text="ATIVO">
      <formula>NOT(ISERROR(SEARCH(("ATIVO"),(#REF!))))</formula>
    </cfRule>
    <cfRule type="containsText" dxfId="465" priority="59" operator="containsText" text="5X2">
      <formula>NOT(ISERROR(SEARCH(("5X2"),(#REF!))))</formula>
    </cfRule>
    <cfRule type="containsText" dxfId="464" priority="61" operator="containsText" text="ROTA">
      <formula>NOT(ISERROR(SEARCH(("ROTA"),(#REF!))))</formula>
    </cfRule>
    <cfRule type="containsText" dxfId="463" priority="62" operator="containsText" text="INDISPONÍVEL">
      <formula>NOT(ISERROR(SEARCH(("INDISPONÍVEL"),(#REF!))))</formula>
    </cfRule>
    <cfRule type="containsText" dxfId="462" priority="64" operator="containsText" text="ROTA">
      <formula>NOT(ISERROR(SEARCH(("ROTA"),(#REF!))))</formula>
    </cfRule>
    <cfRule type="containsText" dxfId="461" priority="65" operator="containsText" text="5X2">
      <formula>NOT(ISERROR(SEARCH(("5X2"),(#REF!))))</formula>
    </cfRule>
    <cfRule type="containsText" dxfId="460" priority="67" operator="containsText" text="INATIVO">
      <formula>NOT(ISERROR(SEARCH(("INATIVO"),(#REF!))))</formula>
    </cfRule>
    <cfRule type="containsText" dxfId="459" priority="68" operator="containsText" text="ROTA">
      <formula>NOT(ISERROR(SEARCH(("ROTA"),(#REF!))))</formula>
    </cfRule>
    <cfRule type="containsText" dxfId="458" priority="69" operator="containsText" text="ATIVO">
      <formula>NOT(ISERROR(SEARCH(("ATIVO"),(#REF!))))</formula>
    </cfRule>
    <cfRule type="containsText" dxfId="457" priority="70" operator="containsText" text="5X2">
      <formula>NOT(ISERROR(SEARCH(("5X2"),(T23))))</formula>
    </cfRule>
    <cfRule type="containsText" dxfId="456" priority="71" operator="containsText" text="INATIVO">
      <formula>NOT(ISERROR(SEARCH(("INATIVO"),(T23))))</formula>
    </cfRule>
    <cfRule type="containsText" dxfId="455" priority="72" operator="containsText" text="ATIVO">
      <formula>NOT(ISERROR(SEARCH(("ATIVO"),(T23))))</formula>
    </cfRule>
    <cfRule type="containsText" dxfId="454" priority="73" operator="containsText" text="INDISPONÍVEL">
      <formula>NOT(ISERROR(SEARCH(("INDISPONÍVEL"),(T23))))</formula>
    </cfRule>
    <cfRule type="containsText" dxfId="453" priority="74" operator="containsText" text="ROTA">
      <formula>NOT(ISERROR(SEARCH(("ROTA"),(T23))))</formula>
    </cfRule>
    <cfRule type="containsText" dxfId="452" priority="75" operator="containsText" text="INTEGRAÇÃO">
      <formula>NOT(ISERROR(SEARCH(("INTEGRAÇÃO"),(T23))))</formula>
    </cfRule>
    <cfRule type="cellIs" dxfId="451" priority="77" operator="equal">
      <formula>"INDISPONIVEL"</formula>
    </cfRule>
    <cfRule type="containsText" dxfId="450" priority="78" operator="containsText" text="INATIVO">
      <formula>NOT(ISERROR(SEARCH(("INATIVO"),(T23))))</formula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max"/>
        <color rgb="FFFFEF9C"/>
        <color rgb="FF63BE7B"/>
      </colorScale>
    </cfRule>
  </conditionalFormatting>
  <conditionalFormatting sqref="X25:X27">
    <cfRule type="containsText" dxfId="449" priority="227" operator="containsText" text="ROTA">
      <formula>NOT(ISERROR(SEARCH(("ROTA"),(#REF!))))</formula>
    </cfRule>
    <cfRule type="containsText" dxfId="448" priority="228" operator="containsText" text="5X2">
      <formula>NOT(ISERROR(SEARCH(("5X2"),(#REF!))))</formula>
    </cfRule>
    <cfRule type="containsText" dxfId="447" priority="229" operator="containsText" text="ROTA">
      <formula>NOT(ISERROR(SEARCH(("ROTA"),(#REF!))))</formula>
    </cfRule>
    <cfRule type="containsText" dxfId="446" priority="230" operator="containsText" text="ATIVO">
      <formula>NOT(ISERROR(SEARCH(("ATIVO"),(#REF!))))</formula>
    </cfRule>
    <cfRule type="containsText" dxfId="445" priority="231" operator="containsText" text="INATIVO">
      <formula>NOT(ISERROR(SEARCH(("INATIVO"),(#REF!))))</formula>
    </cfRule>
    <cfRule type="containsText" dxfId="444" priority="232" operator="containsText" text="INATIVO">
      <formula>NOT(ISERROR(SEARCH(("INATIVO"),(#REF!))))</formula>
    </cfRule>
    <cfRule type="containsText" dxfId="443" priority="233" operator="containsText" text="ATIVO">
      <formula>NOT(ISERROR(SEARCH(("ATIVO"),(#REF!))))</formula>
    </cfRule>
    <cfRule type="containsText" dxfId="442" priority="234" operator="containsText" text="INTEGRAÇÃO">
      <formula>NOT(ISERROR(SEARCH(("INTEGRAÇÃO"),(#REF!))))</formula>
    </cfRule>
    <cfRule type="containsText" dxfId="441" priority="235" operator="containsText" text="ROTA">
      <formula>NOT(ISERROR(SEARCH(("ROTA"),(#REF!))))</formula>
    </cfRule>
    <cfRule type="containsText" dxfId="440" priority="236" operator="containsText" text="ATIVO">
      <formula>NOT(ISERROR(SEARCH(("ATIVO"),(#REF!))))</formula>
    </cfRule>
    <cfRule type="containsText" dxfId="439" priority="237" operator="containsText" text="5X2">
      <formula>NOT(ISERROR(SEARCH(("5X2"),(#REF!))))</formula>
    </cfRule>
    <cfRule type="containsText" dxfId="438" priority="238" operator="containsText" text="INATIVO">
      <formula>NOT(ISERROR(SEARCH(("INATIVO"),(#REF!))))</formula>
    </cfRule>
    <cfRule type="containsText" dxfId="437" priority="239" operator="containsText" text="ROTA">
      <formula>NOT(ISERROR(SEARCH(("ROTA"),(#REF!))))</formula>
    </cfRule>
    <cfRule type="containsText" dxfId="436" priority="240" operator="containsText" text="INDISPONÍVEL">
      <formula>NOT(ISERROR(SEARCH(("INDISPONÍVEL"),(#REF!))))</formula>
    </cfRule>
    <cfRule type="containsText" dxfId="435" priority="241" operator="containsText" text="ATIVO">
      <formula>NOT(ISERROR(SEARCH(("ATIVO"),(#REF!))))</formula>
    </cfRule>
    <cfRule type="containsText" dxfId="434" priority="242" operator="containsText" text="INDISPONÍVEL">
      <formula>NOT(ISERROR(SEARCH(("INDISPONÍVEL"),(#REF!))))</formula>
    </cfRule>
    <cfRule type="containsText" dxfId="433" priority="243" operator="containsText" text="INATIVO">
      <formula>NOT(ISERROR(SEARCH(("INATIVO"),(#REF!))))</formula>
    </cfRule>
    <cfRule type="containsText" dxfId="432" priority="244" operator="containsText" text="ROTA">
      <formula>NOT(ISERROR(SEARCH(("ROTA"),(#REF!))))</formula>
    </cfRule>
    <cfRule type="containsText" dxfId="431" priority="245" operator="containsText" text="5X2">
      <formula>NOT(ISERROR(SEARCH(("5X2"),(#REF!))))</formula>
    </cfRule>
    <cfRule type="containsText" dxfId="430" priority="246" operator="containsText" text="INATIVO">
      <formula>NOT(ISERROR(SEARCH(("INATIVO"),(#REF!))))</formula>
    </cfRule>
    <cfRule type="containsText" dxfId="429" priority="247" operator="containsText" text="ROTA">
      <formula>NOT(ISERROR(SEARCH(("ROTA"),(#REF!))))</formula>
    </cfRule>
    <cfRule type="containsText" dxfId="428" priority="248" operator="containsText" text="INATIVO">
      <formula>NOT(ISERROR(SEARCH(("INATIVO"),(#REF!))))</formula>
    </cfRule>
    <cfRule type="containsText" dxfId="427" priority="249" operator="containsText" text="ATIVO">
      <formula>NOT(ISERROR(SEARCH(("ATIVO"),(#REF!))))</formula>
    </cfRule>
    <cfRule type="containsText" dxfId="426" priority="250" operator="containsText" text="5X2">
      <formula>NOT(ISERROR(SEARCH(("5X2"),(X25))))</formula>
    </cfRule>
    <cfRule type="containsText" dxfId="425" priority="251" operator="containsText" text="INATIVO">
      <formula>NOT(ISERROR(SEARCH(("INATIVO"),(X25))))</formula>
    </cfRule>
    <cfRule type="containsText" dxfId="424" priority="252" operator="containsText" text="ATIVO">
      <formula>NOT(ISERROR(SEARCH(("ATIVO"),(X25))))</formula>
    </cfRule>
    <cfRule type="containsText" dxfId="423" priority="253" operator="containsText" text="INDISPONÍVEL">
      <formula>NOT(ISERROR(SEARCH(("INDISPONÍVEL"),(X25))))</formula>
    </cfRule>
    <cfRule type="containsText" dxfId="422" priority="254" operator="containsText" text="ROTA">
      <formula>NOT(ISERROR(SEARCH(("ROTA"),(X25))))</formula>
    </cfRule>
    <cfRule type="containsText" dxfId="421" priority="255" operator="containsText" text="INTEGRAÇÃO">
      <formula>NOT(ISERROR(SEARCH(("INTEGRAÇÃO"),(X25))))</formula>
    </cfRule>
    <cfRule type="containsText" dxfId="420" priority="256" operator="containsText" text="ATIVO">
      <formula>NOT(ISERROR(SEARCH(("ATIVO"),(#REF!))))</formula>
    </cfRule>
    <cfRule type="cellIs" dxfId="419" priority="257" operator="equal">
      <formula>"INDISPONIVEL"</formula>
    </cfRule>
    <cfRule type="containsText" dxfId="418" priority="258" operator="containsText" text="INATIVO">
      <formula>NOT(ISERROR(SEARCH(("INATIVO"),(X25))))</formula>
    </cfRule>
    <cfRule type="containsText" dxfId="417" priority="259" operator="containsText" text="INTEGRAÇÃO">
      <formula>NOT(ISERROR(SEARCH(("INTEGRAÇÃO"),(#REF!))))</formula>
    </cfRule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1">
      <colorScale>
        <cfvo type="min"/>
        <cfvo type="max"/>
        <color rgb="FFFFEF9C"/>
        <color rgb="FF63BE7B"/>
      </colorScale>
    </cfRule>
  </conditionalFormatting>
  <conditionalFormatting sqref="AD24">
    <cfRule type="containsText" dxfId="416" priority="216" operator="containsText" text="SIM">
      <formula>NOT(ISERROR(SEARCH("SIM",AD24)))</formula>
    </cfRule>
  </conditionalFormatting>
  <conditionalFormatting sqref="AH13">
    <cfRule type="containsText" dxfId="415" priority="215" operator="containsText" text="SIM">
      <formula>NOT(ISERROR(SEARCH("SIM",AH13)))</formula>
    </cfRule>
  </conditionalFormatting>
  <dataValidations count="1">
    <dataValidation type="list" allowBlank="1" showInputMessage="1" showErrorMessage="1" sqref="I22:AH30 T38 U38:AH39 D33:G68 D2:J6 F22:H26 E7:E26 F7:J20 F21:AH21 J33:AH37 H58:AH68 J40:AH57 J38:S39 AI31:AO32 K2:AH20 D7:D30 E27:H30 H33:I57" xr:uid="{7A86D62C-D0CA-44E3-B0A6-20EFEBEDE056}">
      <formula1>$AN$2:$AN$8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82E1-E142-4076-9393-A321BF0C1B74}">
  <dimension ref="A1:AW70"/>
  <sheetViews>
    <sheetView workbookViewId="0">
      <selection activeCell="D15" sqref="D15"/>
    </sheetView>
  </sheetViews>
  <sheetFormatPr defaultColWidth="0" defaultRowHeight="15" zeroHeight="1"/>
  <cols>
    <col min="1" max="1" width="7.5703125" bestFit="1" customWidth="1"/>
    <col min="2" max="2" width="31.5703125" style="141" bestFit="1" customWidth="1"/>
    <col min="3" max="3" width="5" customWidth="1"/>
    <col min="4" max="34" width="12.140625" bestFit="1" customWidth="1"/>
    <col min="35" max="38" width="9.140625" hidden="1"/>
    <col min="39" max="39" width="24.42578125" hidden="1"/>
    <col min="40" max="40" width="10.42578125" hidden="1"/>
    <col min="41" max="41" width="25.28515625" hidden="1"/>
    <col min="42" max="42" width="10.85546875" customWidth="1"/>
    <col min="43" max="46" width="4.140625" hidden="1"/>
    <col min="47" max="47" width="24.42578125" hidden="1"/>
    <col min="48" max="48" width="25.28515625" bestFit="1" customWidth="1"/>
    <col min="49" max="49" width="9.140625" customWidth="1"/>
    <col min="50" max="16384" width="9.140625" hidden="1"/>
  </cols>
  <sheetData>
    <row r="1" spans="1:48">
      <c r="A1" s="86" t="s">
        <v>281</v>
      </c>
      <c r="B1" s="87" t="s">
        <v>282</v>
      </c>
      <c r="C1" s="148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320"/>
      <c r="AJ1" s="320"/>
      <c r="AK1" s="320"/>
      <c r="AL1" s="320"/>
      <c r="AM1" s="320"/>
      <c r="AN1" s="88"/>
      <c r="AO1" s="271" t="s">
        <v>283</v>
      </c>
      <c r="AV1" s="89" t="s">
        <v>284</v>
      </c>
    </row>
    <row r="2" spans="1:48" hidden="1">
      <c r="A2" s="90">
        <v>2</v>
      </c>
      <c r="B2" s="91" t="s">
        <v>285</v>
      </c>
      <c r="C2" s="92">
        <f t="shared" ref="C2:C30" si="0">COUNTA(D2:AG2)</f>
        <v>0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 t="e">
        <f ca="1">IF(OR(INDEX(D2:AH2,MATCH(TODAY(),D$1:AH$1,0))="sim", INDEX(D2:AH2,MATCH(TODAY(),D$1:AH$1,0))="atestado"), $B2, "")</f>
        <v>#N/A</v>
      </c>
      <c r="AJ2" s="2" t="e">
        <f ca="1">IF(OR(INDEX(D2:AH2,MATCH(TODAY()-1,D$1:AH$1,0))="sim", INDEX(D2:AH2,MATCH(TODAY()-1,D$1:AH$1,0))="atestado"), $B2, "")</f>
        <v>#N/A</v>
      </c>
      <c r="AK2" s="2" t="e">
        <f ca="1">IF(OR(INDEX(D2:AH2,MATCH(TODAY()-2,D$1:AH$1,0))="sim", INDEX(D2:AH2,MATCH(TODAY()-2,D$1:AH$1,0))="atestado"), $B2, "")</f>
        <v>#N/A</v>
      </c>
      <c r="AL2" s="2" t="e">
        <f ca="1">IF(OR(INDEX(D2:AH2,MATCH(TODAY()-3,D$1:AH$1,0))="sim", INDEX(D2:AH2,MATCH(TODAY()-3,D$1:AH$1,0))="atestado"), $B2, "")</f>
        <v>#N/A</v>
      </c>
      <c r="AM2" s="2" t="e">
        <f ca="1">IF(OR(INDEX(D2:AH2,MATCH(TODAY()-4,D$1:AH$1,0))="sim", INDEX(D2:AH2,MATCH(TODAY()-4,D$1:AH$1,0))="atestado"), $B2, "")</f>
        <v>#N/A</v>
      </c>
      <c r="AN2" s="2" t="s">
        <v>286</v>
      </c>
      <c r="AO2" s="93" t="str">
        <f>IF(C2=0, B2, "")</f>
        <v xml:space="preserve">ADAIR DE ALMEIDA </v>
      </c>
      <c r="AP2" s="94"/>
      <c r="AQ2" s="95" t="s">
        <v>287</v>
      </c>
      <c r="AR2" s="96" t="s">
        <v>288</v>
      </c>
      <c r="AS2" s="97" t="s">
        <v>289</v>
      </c>
      <c r="AT2" s="98" t="s">
        <v>290</v>
      </c>
      <c r="AU2" s="99" t="s">
        <v>291</v>
      </c>
      <c r="AV2" s="100" t="str" cm="1">
        <f t="array" ref="AV2">IFERROR(INDEX($AO$2:$AO$30, SMALL(IF($AO$2:$AO$30&lt;&gt;"", ROW($AO$2:$AO$30)-1), ROW(A1))), "")</f>
        <v xml:space="preserve">ADAIR DE ALMEIDA </v>
      </c>
    </row>
    <row r="3" spans="1:48" hidden="1">
      <c r="A3" s="101">
        <v>14</v>
      </c>
      <c r="B3" s="102" t="s">
        <v>292</v>
      </c>
      <c r="C3" s="92">
        <f t="shared" si="0"/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 t="e">
        <f t="shared" ref="AI3:AI30" ca="1" si="1">IF(OR(INDEX(D3:AH3,MATCH(TODAY(),D$1:AH$1,0))="sim", INDEX(D3:AH3,MATCH(TODAY(),D$1:AH$1,0))="atestado"), $B3, "")</f>
        <v>#N/A</v>
      </c>
      <c r="AJ3" s="2" t="e">
        <f t="shared" ref="AJ3:AJ30" ca="1" si="2">IF(OR(INDEX(D3:AH3,MATCH(TODAY()-1,D$1:AH$1,0))="sim", INDEX(D3:AH3,MATCH(TODAY()-1,D$1:AH$1,0))="atestado"), $B3, "")</f>
        <v>#N/A</v>
      </c>
      <c r="AK3" s="2" t="e">
        <f t="shared" ref="AK3:AK30" ca="1" si="3">IF(OR(INDEX(D3:AH3,MATCH(TODAY()-2,D$1:AH$1,0))="sim", INDEX(D3:AH3,MATCH(TODAY()-2,D$1:AH$1,0))="atestado"), $B3, "")</f>
        <v>#N/A</v>
      </c>
      <c r="AL3" s="2" t="e">
        <f t="shared" ref="AL3:AL30" ca="1" si="4">IF(OR(INDEX(D3:AH3,MATCH(TODAY()-3,D$1:AH$1,0))="sim", INDEX(D3:AH3,MATCH(TODAY()-3,D$1:AH$1,0))="atestado"), $B3, "")</f>
        <v>#N/A</v>
      </c>
      <c r="AM3" s="2" t="e">
        <f t="shared" ref="AM3:AM30" ca="1" si="5">IF(OR(INDEX(D3:AH3,MATCH(TODAY()-4,D$1:AH$1,0))="sim", INDEX(D3:AH3,MATCH(TODAY()-4,D$1:AH$1,0))="atestado"), $B3, "")</f>
        <v>#N/A</v>
      </c>
      <c r="AN3" s="2" t="s">
        <v>293</v>
      </c>
      <c r="AO3" s="93" t="str">
        <f t="shared" ref="AO3:AO30" si="6">IF(C3=0, B3, "")</f>
        <v>OSMAR ANTONIO CAMARGO</v>
      </c>
      <c r="AP3" s="94"/>
      <c r="AQ3" s="103" t="str" cm="1">
        <f t="array" aca="1" ref="AQ3" ca="1">IFERROR(INDEX($AI$2:$AI$30, SMALL(IF($AI$2:$AI$30&lt;&gt;"", ROW($AI$2:$AI$30)-1), ROW(A1))), "")</f>
        <v/>
      </c>
      <c r="AR3" s="104" t="str" cm="1">
        <f t="array" aca="1" ref="AR3" ca="1">IFERROR(INDEX($AJ$2:$AJ$30, SMALL(IF($AJ$2:$AJ$30&lt;&gt;"", ROW($AJ$2:$AJ$30)-1), ROW(A1))), "")</f>
        <v/>
      </c>
      <c r="AS3" s="105" t="str" cm="1">
        <f t="array" aca="1" ref="AS3" ca="1">IFERROR(INDEX($AK$2:$AK$30, SMALL(IF($AK$2:$AK$30&lt;&gt;"", ROW($AK$2:$AK$30)-1), ROW(A1))), "")</f>
        <v/>
      </c>
      <c r="AT3" s="106" t="str" cm="1">
        <f t="array" aca="1" ref="AT3" ca="1">IFERROR(INDEX($AL$2:$AL$30, SMALL(IF($AL$2:$AL$30&lt;&gt;"", ROW($AL$2:$AL$30)-1), ROW(A1))), "")</f>
        <v/>
      </c>
      <c r="AU3" s="107" t="str" cm="1">
        <f t="array" aca="1" ref="AU3" ca="1">IFERROR(INDEX($AM$2:$AM$30, SMALL(IF($AM$2:$AM$30&lt;&gt;"", ROW($AM$2:$AM$30)-1), ROW(A1))), "")</f>
        <v/>
      </c>
      <c r="AV3" s="100" t="str" cm="1">
        <f t="array" ref="AV3">IFERROR(INDEX($AO$2:$AO$30, SMALL(IF($AO$2:$AO$30&lt;&gt;"", ROW($AO$2:$AO$30)-1), ROW(A2))), "")</f>
        <v>OSMAR ANTONIO CAMARGO</v>
      </c>
    </row>
    <row r="4" spans="1:48" hidden="1">
      <c r="A4" s="101">
        <v>15</v>
      </c>
      <c r="B4" s="102" t="s">
        <v>294</v>
      </c>
      <c r="C4" s="92">
        <f t="shared" si="0"/>
        <v>0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85" t="s">
        <v>33</v>
      </c>
      <c r="AI4" s="2" t="e">
        <f t="shared" ca="1" si="1"/>
        <v>#N/A</v>
      </c>
      <c r="AJ4" s="2" t="e">
        <f t="shared" ca="1" si="2"/>
        <v>#N/A</v>
      </c>
      <c r="AK4" s="2" t="e">
        <f t="shared" ca="1" si="3"/>
        <v>#N/A</v>
      </c>
      <c r="AL4" s="2" t="e">
        <f t="shared" ca="1" si="4"/>
        <v>#N/A</v>
      </c>
      <c r="AM4" s="2" t="e">
        <f t="shared" ca="1" si="5"/>
        <v>#N/A</v>
      </c>
      <c r="AN4" s="2" t="s">
        <v>33</v>
      </c>
      <c r="AO4" s="93" t="str">
        <f t="shared" si="6"/>
        <v>PAULO EDSON DE OLIVEIRA</v>
      </c>
      <c r="AP4" s="94"/>
      <c r="AQ4" s="103" t="str" cm="1">
        <f t="array" aca="1" ref="AQ4" ca="1">IFERROR(INDEX($AI$2:$AI$30, SMALL(IF($AI$2:$AI$30&lt;&gt;"", ROW($AI$2:$AI$30)-1), ROW(A2))), "")</f>
        <v/>
      </c>
      <c r="AR4" s="104" t="str" cm="1">
        <f t="array" aca="1" ref="AR4" ca="1">IFERROR(INDEX($AJ$2:$AJ$30, SMALL(IF($AJ$2:$AJ$30&lt;&gt;"", ROW($AJ$2:$AJ$30)-1), ROW(A2))), "")</f>
        <v/>
      </c>
      <c r="AS4" s="105" t="str" cm="1">
        <f t="array" aca="1" ref="AS4" ca="1">IFERROR(INDEX($AK$2:$AK$30, SMALL(IF($AK$2:$AK$30&lt;&gt;"", ROW($AK$2:$AK$30)-1), ROW(A2))), "")</f>
        <v/>
      </c>
      <c r="AT4" s="106" t="str" cm="1">
        <f t="array" aca="1" ref="AT4" ca="1">IFERROR(INDEX($AL$2:$AL$30, SMALL(IF($AL$2:$AL$30&lt;&gt;"", ROW($AL$2:$AL$30)-1), ROW(A2))), "")</f>
        <v/>
      </c>
      <c r="AU4" s="107" t="str" cm="1">
        <f t="array" aca="1" ref="AU4" ca="1">IFERROR(INDEX($AM$2:$AM$30, SMALL(IF($AM$2:$AM$30&lt;&gt;"", ROW($AM$2:$AM$30)-1), ROW(A2))), "")</f>
        <v/>
      </c>
      <c r="AV4" s="100" t="str" cm="1">
        <f t="array" ref="AV4">IFERROR(INDEX($AO$2:$AO$30, SMALL(IF($AO$2:$AO$30&lt;&gt;"", ROW($AO$2:$AO$30)-1), ROW(A3))), "")</f>
        <v>PAULO EDSON DE OLIVEIRA</v>
      </c>
    </row>
    <row r="5" spans="1:48" hidden="1">
      <c r="A5" s="101">
        <v>16</v>
      </c>
      <c r="B5" s="102" t="s">
        <v>295</v>
      </c>
      <c r="C5" s="92">
        <f t="shared" si="0"/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 t="e">
        <f t="shared" ca="1" si="1"/>
        <v>#N/A</v>
      </c>
      <c r="AJ5" s="2" t="e">
        <f t="shared" ca="1" si="2"/>
        <v>#N/A</v>
      </c>
      <c r="AK5" s="2" t="e">
        <f t="shared" ca="1" si="3"/>
        <v>#N/A</v>
      </c>
      <c r="AL5" s="2" t="e">
        <f t="shared" ca="1" si="4"/>
        <v>#N/A</v>
      </c>
      <c r="AM5" s="2" t="e">
        <f t="shared" ca="1" si="5"/>
        <v>#N/A</v>
      </c>
      <c r="AN5" s="2" t="s">
        <v>296</v>
      </c>
      <c r="AO5" s="93" t="str">
        <f t="shared" si="6"/>
        <v>PAULO FRANCISCO</v>
      </c>
      <c r="AP5" s="94"/>
      <c r="AQ5" s="103" t="str" cm="1">
        <f t="array" aca="1" ref="AQ5" ca="1">IFERROR(INDEX($AI$2:$AI$30, SMALL(IF($AI$2:$AI$30&lt;&gt;"", ROW($AI$2:$AI$30)-1), ROW(A3))), "")</f>
        <v/>
      </c>
      <c r="AR5" s="104" t="str" cm="1">
        <f t="array" aca="1" ref="AR5" ca="1">IFERROR(INDEX($AJ$2:$AJ$30, SMALL(IF($AJ$2:$AJ$30&lt;&gt;"", ROW($AJ$2:$AJ$30)-1), ROW(A3))), "")</f>
        <v/>
      </c>
      <c r="AS5" s="105" t="str" cm="1">
        <f t="array" aca="1" ref="AS5" ca="1">IFERROR(INDEX($AK$2:$AK$30, SMALL(IF($AK$2:$AK$30&lt;&gt;"", ROW($AK$2:$AK$30)-1), ROW(A3))), "")</f>
        <v/>
      </c>
      <c r="AT5" s="106" t="str" cm="1">
        <f t="array" aca="1" ref="AT5" ca="1">IFERROR(INDEX($AL$2:$AL$30, SMALL(IF($AL$2:$AL$30&lt;&gt;"", ROW($AL$2:$AL$30)-1), ROW(A3))), "")</f>
        <v/>
      </c>
      <c r="AU5" s="107" t="str" cm="1">
        <f t="array" aca="1" ref="AU5" ca="1">IFERROR(INDEX($AM$2:$AM$30, SMALL(IF($AM$2:$AM$30&lt;&gt;"", ROW($AM$2:$AM$30)-1), ROW(A3))), "")</f>
        <v/>
      </c>
      <c r="AV5" s="100" t="str" cm="1">
        <f t="array" ref="AV5">IFERROR(INDEX($AO$2:$AO$30, SMALL(IF($AO$2:$AO$30&lt;&gt;"", ROW($AO$2:$AO$30)-1), ROW(A4))), "")</f>
        <v>PAULO FRANCISCO</v>
      </c>
    </row>
    <row r="6" spans="1:48" hidden="1">
      <c r="A6" s="90">
        <v>34</v>
      </c>
      <c r="B6" s="91" t="s">
        <v>297</v>
      </c>
      <c r="C6" s="92">
        <f t="shared" si="0"/>
        <v>0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 t="e">
        <f t="shared" ca="1" si="1"/>
        <v>#N/A</v>
      </c>
      <c r="AJ6" s="2" t="e">
        <f t="shared" ca="1" si="2"/>
        <v>#N/A</v>
      </c>
      <c r="AK6" s="2" t="e">
        <f t="shared" ca="1" si="3"/>
        <v>#N/A</v>
      </c>
      <c r="AL6" s="2" t="e">
        <f t="shared" ca="1" si="4"/>
        <v>#N/A</v>
      </c>
      <c r="AM6" s="2" t="e">
        <f t="shared" ca="1" si="5"/>
        <v>#N/A</v>
      </c>
      <c r="AN6" s="2" t="s">
        <v>298</v>
      </c>
      <c r="AO6" s="93" t="str">
        <f t="shared" si="6"/>
        <v>ERIVALDO UMBERTO</v>
      </c>
      <c r="AP6" s="94"/>
      <c r="AQ6" s="103" t="str" cm="1">
        <f t="array" aca="1" ref="AQ6" ca="1">IFERROR(INDEX($AI$2:$AI$30, SMALL(IF($AI$2:$AI$30&lt;&gt;"", ROW($AI$2:$AI$30)-1), ROW(A4))), "")</f>
        <v/>
      </c>
      <c r="AR6" s="104" t="str" cm="1">
        <f t="array" aca="1" ref="AR6" ca="1">IFERROR(INDEX($AJ$2:$AJ$30, SMALL(IF($AJ$2:$AJ$30&lt;&gt;"", ROW($AJ$2:$AJ$30)-1), ROW(A4))), "")</f>
        <v/>
      </c>
      <c r="AS6" s="105" t="str" cm="1">
        <f t="array" aca="1" ref="AS6" ca="1">IFERROR(INDEX($AK$2:$AK$30, SMALL(IF($AK$2:$AK$30&lt;&gt;"", ROW($AK$2:$AK$30)-1), ROW(A4))), "")</f>
        <v/>
      </c>
      <c r="AT6" s="106" t="str" cm="1">
        <f t="array" aca="1" ref="AT6" ca="1">IFERROR(INDEX($AL$2:$AL$30, SMALL(IF($AL$2:$AL$30&lt;&gt;"", ROW($AL$2:$AL$30)-1), ROW(A4))), "")</f>
        <v/>
      </c>
      <c r="AU6" s="107" t="str" cm="1">
        <f t="array" aca="1" ref="AU6" ca="1">IFERROR(INDEX($AM$2:$AM$30, SMALL(IF($AM$2:$AM$30&lt;&gt;"", ROW($AM$2:$AM$30)-1), ROW(A4))), "")</f>
        <v/>
      </c>
      <c r="AV6" s="100" t="str" cm="1">
        <f t="array" ref="AV6">IFERROR(INDEX($AO$2:$AO$30, SMALL(IF($AO$2:$AO$30&lt;&gt;"", ROW($AO$2:$AO$30)-1), ROW(A5))), "")</f>
        <v>ERIVALDO UMBERTO</v>
      </c>
    </row>
    <row r="7" spans="1:48" hidden="1">
      <c r="A7" s="101">
        <v>48</v>
      </c>
      <c r="B7" s="102" t="s">
        <v>299</v>
      </c>
      <c r="C7" s="92">
        <f t="shared" si="0"/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 t="e">
        <f t="shared" ca="1" si="1"/>
        <v>#N/A</v>
      </c>
      <c r="AJ7" s="2" t="e">
        <f t="shared" ca="1" si="2"/>
        <v>#N/A</v>
      </c>
      <c r="AK7" s="2" t="e">
        <f t="shared" ca="1" si="3"/>
        <v>#N/A</v>
      </c>
      <c r="AL7" s="2" t="e">
        <f t="shared" ca="1" si="4"/>
        <v>#N/A</v>
      </c>
      <c r="AM7" s="2" t="e">
        <f t="shared" ca="1" si="5"/>
        <v>#N/A</v>
      </c>
      <c r="AN7" s="2" t="s">
        <v>300</v>
      </c>
      <c r="AO7" s="93" t="str">
        <f t="shared" si="6"/>
        <v>SIDENEI GUERRA</v>
      </c>
      <c r="AP7" s="94"/>
      <c r="AQ7" s="103" t="str" cm="1">
        <f t="array" aca="1" ref="AQ7" ca="1">IFERROR(INDEX($AI$2:$AI$30, SMALL(IF($AI$2:$AI$30&lt;&gt;"", ROW($AI$2:$AI$30)-1), ROW(A5))), "")</f>
        <v/>
      </c>
      <c r="AR7" s="104" t="str" cm="1">
        <f t="array" aca="1" ref="AR7" ca="1">IFERROR(INDEX($AJ$2:$AJ$30, SMALL(IF($AJ$2:$AJ$30&lt;&gt;"", ROW($AJ$2:$AJ$30)-1), ROW(A5))), "")</f>
        <v/>
      </c>
      <c r="AS7" s="105" t="str" cm="1">
        <f t="array" aca="1" ref="AS7" ca="1">IFERROR(INDEX($AK$2:$AK$30, SMALL(IF($AK$2:$AK$30&lt;&gt;"", ROW($AK$2:$AK$30)-1), ROW(A5))), "")</f>
        <v/>
      </c>
      <c r="AT7" s="106" t="str" cm="1">
        <f t="array" aca="1" ref="AT7" ca="1">IFERROR(INDEX($AL$2:$AL$30, SMALL(IF($AL$2:$AL$30&lt;&gt;"", ROW($AL$2:$AL$30)-1), ROW(A5))), "")</f>
        <v/>
      </c>
      <c r="AU7" s="107" t="str" cm="1">
        <f t="array" aca="1" ref="AU7" ca="1">IFERROR(INDEX($AM$2:$AM$30, SMALL(IF($AM$2:$AM$30&lt;&gt;"", ROW($AM$2:$AM$30)-1), ROW(A5))), "")</f>
        <v/>
      </c>
      <c r="AV7" s="100" t="str" cm="1">
        <f t="array" ref="AV7">IFERROR(INDEX($AO$2:$AO$30, SMALL(IF($AO$2:$AO$30&lt;&gt;"", ROW($AO$2:$AO$30)-1), ROW(A6))), "")</f>
        <v>SIDENEI GUERRA</v>
      </c>
    </row>
    <row r="8" spans="1:48" hidden="1">
      <c r="A8" s="101">
        <v>88</v>
      </c>
      <c r="B8" s="102" t="s">
        <v>301</v>
      </c>
      <c r="C8" s="92">
        <f t="shared" si="0"/>
        <v>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 t="e">
        <f t="shared" ca="1" si="1"/>
        <v>#N/A</v>
      </c>
      <c r="AJ8" s="2" t="e">
        <f t="shared" ca="1" si="2"/>
        <v>#N/A</v>
      </c>
      <c r="AK8" s="2" t="e">
        <f t="shared" ca="1" si="3"/>
        <v>#N/A</v>
      </c>
      <c r="AL8" s="2" t="e">
        <f t="shared" ca="1" si="4"/>
        <v>#N/A</v>
      </c>
      <c r="AM8" s="2" t="e">
        <f t="shared" ca="1" si="5"/>
        <v>#N/A</v>
      </c>
      <c r="AN8" s="2" t="s">
        <v>302</v>
      </c>
      <c r="AO8" s="93" t="str">
        <f t="shared" si="6"/>
        <v>ROBERTO ALVES MARTINS</v>
      </c>
      <c r="AP8" s="94"/>
      <c r="AQ8" s="103" t="str" cm="1">
        <f t="array" aca="1" ref="AQ8" ca="1">IFERROR(INDEX($AI$2:$AI$30, SMALL(IF($AI$2:$AI$30&lt;&gt;"", ROW($AI$2:$AI$30)-1), ROW(A6))), "")</f>
        <v/>
      </c>
      <c r="AR8" s="104" t="str" cm="1">
        <f t="array" aca="1" ref="AR8" ca="1">IFERROR(INDEX($AJ$2:$AJ$30, SMALL(IF($AJ$2:$AJ$30&lt;&gt;"", ROW($AJ$2:$AJ$30)-1), ROW(A6))), "")</f>
        <v/>
      </c>
      <c r="AS8" s="105" t="str" cm="1">
        <f t="array" aca="1" ref="AS8" ca="1">IFERROR(INDEX($AK$2:$AK$30, SMALL(IF($AK$2:$AK$30&lt;&gt;"", ROW($AK$2:$AK$30)-1), ROW(A6))), "")</f>
        <v/>
      </c>
      <c r="AT8" s="106" t="str" cm="1">
        <f t="array" aca="1" ref="AT8" ca="1">IFERROR(INDEX($AL$2:$AL$30, SMALL(IF($AL$2:$AL$30&lt;&gt;"", ROW($AL$2:$AL$30)-1), ROW(A6))), "")</f>
        <v/>
      </c>
      <c r="AU8" s="107" t="str" cm="1">
        <f t="array" aca="1" ref="AU8" ca="1">IFERROR(INDEX($AM$2:$AM$30, SMALL(IF($AM$2:$AM$30&lt;&gt;"", ROW($AM$2:$AM$30)-1), ROW(A6))), "")</f>
        <v/>
      </c>
      <c r="AV8" s="100" t="str" cm="1">
        <f t="array" ref="AV8">IFERROR(INDEX($AO$2:$AO$30, SMALL(IF($AO$2:$AO$30&lt;&gt;"", ROW($AO$2:$AO$30)-1), ROW(A7))), "")</f>
        <v>ROBERTO ALVES MARTINS</v>
      </c>
    </row>
    <row r="9" spans="1:48" hidden="1">
      <c r="A9" s="101">
        <v>90</v>
      </c>
      <c r="B9" s="102" t="s">
        <v>303</v>
      </c>
      <c r="C9" s="92">
        <f t="shared" si="0"/>
        <v>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 t="e">
        <f t="shared" ca="1" si="1"/>
        <v>#N/A</v>
      </c>
      <c r="AJ9" s="2" t="e">
        <f t="shared" ca="1" si="2"/>
        <v>#N/A</v>
      </c>
      <c r="AK9" s="2" t="e">
        <f t="shared" ca="1" si="3"/>
        <v>#N/A</v>
      </c>
      <c r="AL9" s="2" t="e">
        <f t="shared" ca="1" si="4"/>
        <v>#N/A</v>
      </c>
      <c r="AM9" s="2" t="e">
        <f t="shared" ca="1" si="5"/>
        <v>#N/A</v>
      </c>
      <c r="AN9" s="2"/>
      <c r="AO9" s="93" t="str">
        <f t="shared" si="6"/>
        <v>KEBERSON PAULO TROIAN</v>
      </c>
      <c r="AP9" s="94"/>
      <c r="AQ9" s="103" t="str" cm="1">
        <f t="array" aca="1" ref="AQ9" ca="1">IFERROR(INDEX($AI$2:$AI$30, SMALL(IF($AI$2:$AI$30&lt;&gt;"", ROW($AI$2:$AI$30)-1), ROW(A7))), "")</f>
        <v/>
      </c>
      <c r="AR9" s="104" t="str" cm="1">
        <f t="array" aca="1" ref="AR9" ca="1">IFERROR(INDEX($AJ$2:$AJ$30, SMALL(IF($AJ$2:$AJ$30&lt;&gt;"", ROW($AJ$2:$AJ$30)-1), ROW(A7))), "")</f>
        <v/>
      </c>
      <c r="AS9" s="105" t="str" cm="1">
        <f t="array" aca="1" ref="AS9" ca="1">IFERROR(INDEX($AK$2:$AK$30, SMALL(IF($AK$2:$AK$30&lt;&gt;"", ROW($AK$2:$AK$30)-1), ROW(A7))), "")</f>
        <v/>
      </c>
      <c r="AT9" s="106" t="str" cm="1">
        <f t="array" aca="1" ref="AT9" ca="1">IFERROR(INDEX($AL$2:$AL$30, SMALL(IF($AL$2:$AL$30&lt;&gt;"", ROW($AL$2:$AL$30)-1), ROW(A7))), "")</f>
        <v/>
      </c>
      <c r="AU9" s="107" t="str" cm="1">
        <f t="array" aca="1" ref="AU9" ca="1">IFERROR(INDEX($AM$2:$AM$30, SMALL(IF($AM$2:$AM$30&lt;&gt;"", ROW($AM$2:$AM$30)-1), ROW(A7))), "")</f>
        <v/>
      </c>
      <c r="AV9" s="100" t="str" cm="1">
        <f t="array" ref="AV9">IFERROR(INDEX($AO$2:$AO$30, SMALL(IF($AO$2:$AO$30&lt;&gt;"", ROW($AO$2:$AO$30)-1), ROW(A8))), "")</f>
        <v>KEBERSON PAULO TROIAN</v>
      </c>
    </row>
    <row r="10" spans="1:48" hidden="1">
      <c r="A10" s="90">
        <v>107</v>
      </c>
      <c r="B10" s="102" t="s">
        <v>304</v>
      </c>
      <c r="C10" s="92">
        <f t="shared" si="0"/>
        <v>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 t="e">
        <f t="shared" ca="1" si="1"/>
        <v>#N/A</v>
      </c>
      <c r="AJ10" s="2" t="e">
        <f t="shared" ca="1" si="2"/>
        <v>#N/A</v>
      </c>
      <c r="AK10" s="2" t="e">
        <f t="shared" ca="1" si="3"/>
        <v>#N/A</v>
      </c>
      <c r="AL10" s="2" t="e">
        <f t="shared" ca="1" si="4"/>
        <v>#N/A</v>
      </c>
      <c r="AM10" s="2" t="e">
        <f t="shared" ca="1" si="5"/>
        <v>#N/A</v>
      </c>
      <c r="AN10" s="2"/>
      <c r="AO10" s="93" t="str">
        <f t="shared" si="6"/>
        <v>DEOCLIDES RODRIGUES</v>
      </c>
      <c r="AP10" s="94"/>
      <c r="AQ10" s="103" t="str" cm="1">
        <f t="array" aca="1" ref="AQ10" ca="1">IFERROR(INDEX($AI$2:$AI$30, SMALL(IF($AI$2:$AI$30&lt;&gt;"", ROW($AI$2:$AI$30)-1), ROW(A8))), "")</f>
        <v/>
      </c>
      <c r="AR10" s="104" t="str" cm="1">
        <f t="array" aca="1" ref="AR10" ca="1">IFERROR(INDEX($AJ$2:$AJ$30, SMALL(IF($AJ$2:$AJ$30&lt;&gt;"", ROW($AJ$2:$AJ$30)-1), ROW(A8))), "")</f>
        <v/>
      </c>
      <c r="AS10" s="105" t="str" cm="1">
        <f t="array" aca="1" ref="AS10" ca="1">IFERROR(INDEX($AK$2:$AK$30, SMALL(IF($AK$2:$AK$30&lt;&gt;"", ROW($AK$2:$AK$30)-1), ROW(A8))), "")</f>
        <v/>
      </c>
      <c r="AT10" s="106" t="str" cm="1">
        <f t="array" aca="1" ref="AT10" ca="1">IFERROR(INDEX($AL$2:$AL$30, SMALL(IF($AL$2:$AL$30&lt;&gt;"", ROW($AL$2:$AL$30)-1), ROW(A8))), "")</f>
        <v/>
      </c>
      <c r="AU10" s="107" t="str" cm="1">
        <f t="array" aca="1" ref="AU10" ca="1">IFERROR(INDEX($AM$2:$AM$30, SMALL(IF($AM$2:$AM$30&lt;&gt;"", ROW($AM$2:$AM$30)-1), ROW(A8))), "")</f>
        <v/>
      </c>
      <c r="AV10" s="100" t="str" cm="1">
        <f t="array" ref="AV10">IFERROR(INDEX($AO$2:$AO$30, SMALL(IF($AO$2:$AO$30&lt;&gt;"", ROW($AO$2:$AO$30)-1), ROW(A9))), "")</f>
        <v>DEOCLIDES RODRIGUES</v>
      </c>
    </row>
    <row r="11" spans="1:48" hidden="1">
      <c r="A11" s="101">
        <v>128</v>
      </c>
      <c r="B11" s="102" t="s">
        <v>305</v>
      </c>
      <c r="C11" s="92">
        <f t="shared" si="0"/>
        <v>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 t="e">
        <f t="shared" ca="1" si="1"/>
        <v>#N/A</v>
      </c>
      <c r="AJ11" s="2" t="e">
        <f t="shared" ca="1" si="2"/>
        <v>#N/A</v>
      </c>
      <c r="AK11" s="2" t="e">
        <f t="shared" ca="1" si="3"/>
        <v>#N/A</v>
      </c>
      <c r="AL11" s="2" t="e">
        <f t="shared" ca="1" si="4"/>
        <v>#N/A</v>
      </c>
      <c r="AM11" s="2" t="e">
        <f t="shared" ca="1" si="5"/>
        <v>#N/A</v>
      </c>
      <c r="AN11" s="2"/>
      <c r="AO11" s="93" t="str">
        <f t="shared" si="6"/>
        <v>MARCIO  WILLIANS DIAS</v>
      </c>
      <c r="AP11" s="94"/>
      <c r="AQ11" s="103" t="str" cm="1">
        <f t="array" aca="1" ref="AQ11" ca="1">IFERROR(INDEX($AI$2:$AI$30, SMALL(IF($AI$2:$AI$30&lt;&gt;"", ROW($AI$2:$AI$30)-1), ROW(A9))), "")</f>
        <v/>
      </c>
      <c r="AR11" s="104" t="str" cm="1">
        <f t="array" aca="1" ref="AR11" ca="1">IFERROR(INDEX($AJ$2:$AJ$30, SMALL(IF($AJ$2:$AJ$30&lt;&gt;"", ROW($AJ$2:$AJ$30)-1), ROW(A9))), "")</f>
        <v/>
      </c>
      <c r="AS11" s="105" t="str" cm="1">
        <f t="array" aca="1" ref="AS11" ca="1">IFERROR(INDEX($AK$2:$AK$30, SMALL(IF($AK$2:$AK$30&lt;&gt;"", ROW($AK$2:$AK$30)-1), ROW(A9))), "")</f>
        <v/>
      </c>
      <c r="AT11" s="106" t="str" cm="1">
        <f t="array" aca="1" ref="AT11" ca="1">IFERROR(INDEX($AL$2:$AL$30, SMALL(IF($AL$2:$AL$30&lt;&gt;"", ROW($AL$2:$AL$30)-1), ROW(A9))), "")</f>
        <v/>
      </c>
      <c r="AU11" s="107" t="str" cm="1">
        <f t="array" aca="1" ref="AU11" ca="1">IFERROR(INDEX($AM$2:$AM$30, SMALL(IF($AM$2:$AM$30&lt;&gt;"", ROW($AM$2:$AM$30)-1), ROW(A9))), "")</f>
        <v/>
      </c>
      <c r="AV11" s="100" t="str" cm="1">
        <f t="array" ref="AV11">IFERROR(INDEX($AO$2:$AO$30, SMALL(IF($AO$2:$AO$30&lt;&gt;"", ROW($AO$2:$AO$30)-1), ROW(A10))), "")</f>
        <v>MARCIO  WILLIANS DIAS</v>
      </c>
    </row>
    <row r="12" spans="1:48" hidden="1">
      <c r="A12" s="101">
        <v>161</v>
      </c>
      <c r="B12" s="102" t="s">
        <v>306</v>
      </c>
      <c r="C12" s="92">
        <f t="shared" si="0"/>
        <v>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 t="e">
        <f t="shared" ca="1" si="1"/>
        <v>#N/A</v>
      </c>
      <c r="AJ12" s="2" t="e">
        <f t="shared" ca="1" si="2"/>
        <v>#N/A</v>
      </c>
      <c r="AK12" s="2" t="e">
        <f t="shared" ca="1" si="3"/>
        <v>#N/A</v>
      </c>
      <c r="AL12" s="2" t="e">
        <f t="shared" ca="1" si="4"/>
        <v>#N/A</v>
      </c>
      <c r="AM12" s="2" t="e">
        <f t="shared" ca="1" si="5"/>
        <v>#N/A</v>
      </c>
      <c r="AN12" s="2"/>
      <c r="AO12" s="93" t="str">
        <f t="shared" si="6"/>
        <v>ELSO VAZ DE OLIVEIRA</v>
      </c>
      <c r="AP12" s="94"/>
      <c r="AQ12" s="103" t="str" cm="1">
        <f t="array" aca="1" ref="AQ12" ca="1">IFERROR(INDEX($AI$2:$AI$30, SMALL(IF($AI$2:$AI$30&lt;&gt;"", ROW($AI$2:$AI$30)-1), ROW(A10))), "")</f>
        <v/>
      </c>
      <c r="AR12" s="104" t="str" cm="1">
        <f t="array" aca="1" ref="AR12" ca="1">IFERROR(INDEX($AJ$2:$AJ$30, SMALL(IF($AJ$2:$AJ$30&lt;&gt;"", ROW($AJ$2:$AJ$30)-1), ROW(A10))), "")</f>
        <v/>
      </c>
      <c r="AS12" s="105" t="str" cm="1">
        <f t="array" aca="1" ref="AS12" ca="1">IFERROR(INDEX($AK$2:$AK$30, SMALL(IF($AK$2:$AK$30&lt;&gt;"", ROW($AK$2:$AK$30)-1), ROW(A10))), "")</f>
        <v/>
      </c>
      <c r="AT12" s="106" t="str" cm="1">
        <f t="array" aca="1" ref="AT12" ca="1">IFERROR(INDEX($AL$2:$AL$30, SMALL(IF($AL$2:$AL$30&lt;&gt;"", ROW($AL$2:$AL$30)-1), ROW(A10))), "")</f>
        <v/>
      </c>
      <c r="AU12" s="107" t="str" cm="1">
        <f t="array" aca="1" ref="AU12" ca="1">IFERROR(INDEX($AM$2:$AM$30, SMALL(IF($AM$2:$AM$30&lt;&gt;"", ROW($AM$2:$AM$30)-1), ROW(A10))), "")</f>
        <v/>
      </c>
      <c r="AV12" s="100" t="str" cm="1">
        <f t="array" ref="AV12">IFERROR(INDEX($AO$2:$AO$30, SMALL(IF($AO$2:$AO$30&lt;&gt;"", ROW($AO$2:$AO$30)-1), ROW(A11))), "")</f>
        <v>ELSO VAZ DE OLIVEIRA</v>
      </c>
    </row>
    <row r="13" spans="1:48" hidden="1">
      <c r="A13" s="101">
        <v>186</v>
      </c>
      <c r="B13" s="102" t="s">
        <v>307</v>
      </c>
      <c r="C13" s="92">
        <f t="shared" si="0"/>
        <v>0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 t="e">
        <f t="shared" ca="1" si="1"/>
        <v>#N/A</v>
      </c>
      <c r="AJ13" s="2" t="e">
        <f t="shared" ca="1" si="2"/>
        <v>#N/A</v>
      </c>
      <c r="AK13" s="2" t="e">
        <f t="shared" ca="1" si="3"/>
        <v>#N/A</v>
      </c>
      <c r="AL13" s="2" t="e">
        <f t="shared" ca="1" si="4"/>
        <v>#N/A</v>
      </c>
      <c r="AM13" s="2" t="e">
        <f t="shared" ca="1" si="5"/>
        <v>#N/A</v>
      </c>
      <c r="AN13" s="2"/>
      <c r="AO13" s="93" t="str">
        <f t="shared" si="6"/>
        <v>ALAN FELIPE BARTLE</v>
      </c>
      <c r="AP13" s="94"/>
      <c r="AQ13" s="103" t="str" cm="1">
        <f t="array" aca="1" ref="AQ13" ca="1">IFERROR(INDEX($AI$2:$AI$30, SMALL(IF($AI$2:$AI$30&lt;&gt;"", ROW($AI$2:$AI$30)-1), ROW(A11))), "")</f>
        <v/>
      </c>
      <c r="AR13" s="104" t="str" cm="1">
        <f t="array" aca="1" ref="AR13" ca="1">IFERROR(INDEX($AJ$2:$AJ$30, SMALL(IF($AJ$2:$AJ$30&lt;&gt;"", ROW($AJ$2:$AJ$30)-1), ROW(A11))), "")</f>
        <v/>
      </c>
      <c r="AS13" s="105" t="str" cm="1">
        <f t="array" aca="1" ref="AS13" ca="1">IFERROR(INDEX($AK$2:$AK$30, SMALL(IF($AK$2:$AK$30&lt;&gt;"", ROW($AK$2:$AK$30)-1), ROW(A11))), "")</f>
        <v/>
      </c>
      <c r="AT13" s="106" t="str" cm="1">
        <f t="array" aca="1" ref="AT13" ca="1">IFERROR(INDEX($AL$2:$AL$30, SMALL(IF($AL$2:$AL$30&lt;&gt;"", ROW($AL$2:$AL$30)-1), ROW(A11))), "")</f>
        <v/>
      </c>
      <c r="AU13" s="107" t="str" cm="1">
        <f t="array" aca="1" ref="AU13" ca="1">IFERROR(INDEX($AM$2:$AM$30, SMALL(IF($AM$2:$AM$30&lt;&gt;"", ROW($AM$2:$AM$30)-1), ROW(A11))), "")</f>
        <v/>
      </c>
      <c r="AV13" s="100" t="str" cm="1">
        <f t="array" ref="AV13">IFERROR(INDEX($AO$2:$AO$30, SMALL(IF($AO$2:$AO$30&lt;&gt;"", ROW($AO$2:$AO$30)-1), ROW(A12))), "")</f>
        <v>ALAN FELIPE BARTLE</v>
      </c>
    </row>
    <row r="14" spans="1:48" hidden="1">
      <c r="A14" s="101">
        <v>192</v>
      </c>
      <c r="B14" s="102" t="s">
        <v>308</v>
      </c>
      <c r="C14" s="92">
        <f t="shared" si="0"/>
        <v>0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 t="e">
        <f t="shared" ca="1" si="1"/>
        <v>#N/A</v>
      </c>
      <c r="AJ14" s="2" t="e">
        <f t="shared" ca="1" si="2"/>
        <v>#N/A</v>
      </c>
      <c r="AK14" s="2" t="e">
        <f t="shared" ca="1" si="3"/>
        <v>#N/A</v>
      </c>
      <c r="AL14" s="2" t="e">
        <f t="shared" ca="1" si="4"/>
        <v>#N/A</v>
      </c>
      <c r="AM14" s="2" t="e">
        <f t="shared" ca="1" si="5"/>
        <v>#N/A</v>
      </c>
      <c r="AN14" s="2"/>
      <c r="AO14" s="93" t="str">
        <f t="shared" si="6"/>
        <v>CELIO MEDEIROS MOREIRA</v>
      </c>
      <c r="AP14" s="94"/>
      <c r="AQ14" s="103" t="str" cm="1">
        <f t="array" aca="1" ref="AQ14" ca="1">IFERROR(INDEX($AI$2:$AI$30, SMALL(IF($AI$2:$AI$30&lt;&gt;"", ROW($AI$2:$AI$30)-1), ROW(A12))), "")</f>
        <v/>
      </c>
      <c r="AR14" s="104" t="str" cm="1">
        <f t="array" aca="1" ref="AR14" ca="1">IFERROR(INDEX($AJ$2:$AJ$30, SMALL(IF($AJ$2:$AJ$30&lt;&gt;"", ROW($AJ$2:$AJ$30)-1), ROW(A12))), "")</f>
        <v/>
      </c>
      <c r="AS14" s="105" t="str" cm="1">
        <f t="array" aca="1" ref="AS14" ca="1">IFERROR(INDEX($AK$2:$AK$30, SMALL(IF($AK$2:$AK$30&lt;&gt;"", ROW($AK$2:$AK$30)-1), ROW(A12))), "")</f>
        <v/>
      </c>
      <c r="AT14" s="106" t="str" cm="1">
        <f t="array" aca="1" ref="AT14" ca="1">IFERROR(INDEX($AL$2:$AL$30, SMALL(IF($AL$2:$AL$30&lt;&gt;"", ROW($AL$2:$AL$30)-1), ROW(A12))), "")</f>
        <v/>
      </c>
      <c r="AU14" s="107" t="str" cm="1">
        <f t="array" aca="1" ref="AU14" ca="1">IFERROR(INDEX($AM$2:$AM$30, SMALL(IF($AM$2:$AM$30&lt;&gt;"", ROW($AM$2:$AM$30)-1), ROW(A12))), "")</f>
        <v/>
      </c>
      <c r="AV14" s="100" t="str" cm="1">
        <f t="array" ref="AV14">IFERROR(INDEX($AO$2:$AO$30, SMALL(IF($AO$2:$AO$30&lt;&gt;"", ROW($AO$2:$AO$30)-1), ROW(A13))), "")</f>
        <v>CELIO MEDEIROS MOREIRA</v>
      </c>
    </row>
    <row r="15" spans="1:48">
      <c r="A15" s="101">
        <v>199</v>
      </c>
      <c r="B15" s="102" t="s">
        <v>309</v>
      </c>
      <c r="C15" s="92">
        <f t="shared" si="0"/>
        <v>0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 t="e">
        <f t="shared" ca="1" si="1"/>
        <v>#N/A</v>
      </c>
      <c r="AJ15" s="2" t="e">
        <f t="shared" ca="1" si="2"/>
        <v>#N/A</v>
      </c>
      <c r="AK15" s="2" t="e">
        <f t="shared" ca="1" si="3"/>
        <v>#N/A</v>
      </c>
      <c r="AL15" s="2" t="e">
        <f t="shared" ca="1" si="4"/>
        <v>#N/A</v>
      </c>
      <c r="AM15" s="2" t="e">
        <f t="shared" ca="1" si="5"/>
        <v>#N/A</v>
      </c>
      <c r="AN15" s="2"/>
      <c r="AO15" s="93" t="str">
        <f t="shared" si="6"/>
        <v>JOSIAS VIEIRA DE OLIVEIRA</v>
      </c>
      <c r="AP15" s="94"/>
      <c r="AQ15" s="103" t="str" cm="1">
        <f t="array" aca="1" ref="AQ15" ca="1">IFERROR(INDEX($AI$2:$AI$30, SMALL(IF($AI$2:$AI$30&lt;&gt;"", ROW($AI$2:$AI$30)-1), ROW(A13))), "")</f>
        <v/>
      </c>
      <c r="AR15" s="104" t="str" cm="1">
        <f t="array" aca="1" ref="AR15" ca="1">IFERROR(INDEX($AJ$2:$AJ$30, SMALL(IF($AJ$2:$AJ$30&lt;&gt;"", ROW($AJ$2:$AJ$30)-1), ROW(A13))), "")</f>
        <v/>
      </c>
      <c r="AS15" s="105" t="str" cm="1">
        <f t="array" aca="1" ref="AS15" ca="1">IFERROR(INDEX($AK$2:$AK$30, SMALL(IF($AK$2:$AK$30&lt;&gt;"", ROW($AK$2:$AK$30)-1), ROW(A13))), "")</f>
        <v/>
      </c>
      <c r="AT15" s="106" t="str" cm="1">
        <f t="array" aca="1" ref="AT15" ca="1">IFERROR(INDEX($AL$2:$AL$30, SMALL(IF($AL$2:$AL$30&lt;&gt;"", ROW($AL$2:$AL$30)-1), ROW(A13))), "")</f>
        <v/>
      </c>
      <c r="AU15" s="107" t="str" cm="1">
        <f t="array" aca="1" ref="AU15" ca="1">IFERROR(INDEX($AM$2:$AM$30, SMALL(IF($AM$2:$AM$30&lt;&gt;"", ROW($AM$2:$AM$30)-1), ROW(A13))), "")</f>
        <v/>
      </c>
      <c r="AV15" s="100" t="str" cm="1">
        <f t="array" ref="AV15">IFERROR(INDEX($AO$2:$AO$30, SMALL(IF($AO$2:$AO$30&lt;&gt;"", ROW($AO$2:$AO$30)-1), ROW(A14))), "")</f>
        <v>JOSIAS VIEIRA DE OLIVEIRA</v>
      </c>
    </row>
    <row r="16" spans="1:48" hidden="1">
      <c r="A16" s="101">
        <v>202</v>
      </c>
      <c r="B16" s="102" t="s">
        <v>310</v>
      </c>
      <c r="C16" s="92">
        <f t="shared" si="0"/>
        <v>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 t="e">
        <f t="shared" ca="1" si="1"/>
        <v>#N/A</v>
      </c>
      <c r="AJ16" s="2" t="e">
        <f t="shared" ca="1" si="2"/>
        <v>#N/A</v>
      </c>
      <c r="AK16" s="2" t="e">
        <f t="shared" ca="1" si="3"/>
        <v>#N/A</v>
      </c>
      <c r="AL16" s="2" t="e">
        <f t="shared" ca="1" si="4"/>
        <v>#N/A</v>
      </c>
      <c r="AM16" s="2" t="e">
        <f t="shared" ca="1" si="5"/>
        <v>#N/A</v>
      </c>
      <c r="AN16" s="2"/>
      <c r="AO16" s="93" t="str">
        <f t="shared" si="6"/>
        <v xml:space="preserve">CARLOS HENRIQUE </v>
      </c>
      <c r="AP16" s="94"/>
      <c r="AQ16" s="103" t="str" cm="1">
        <f t="array" aca="1" ref="AQ16" ca="1">IFERROR(INDEX($AI$2:$AI$30, SMALL(IF($AI$2:$AI$30&lt;&gt;"", ROW($AI$2:$AI$30)-1), ROW(A14))), "")</f>
        <v/>
      </c>
      <c r="AR16" s="104" t="str" cm="1">
        <f t="array" aca="1" ref="AR16" ca="1">IFERROR(INDEX($AJ$2:$AJ$30, SMALL(IF($AJ$2:$AJ$30&lt;&gt;"", ROW($AJ$2:$AJ$30)-1), ROW(A14))), "")</f>
        <v/>
      </c>
      <c r="AS16" s="105" t="str" cm="1">
        <f t="array" aca="1" ref="AS16" ca="1">IFERROR(INDEX($AK$2:$AK$30, SMALL(IF($AK$2:$AK$30&lt;&gt;"", ROW($AK$2:$AK$30)-1), ROW(A14))), "")</f>
        <v/>
      </c>
      <c r="AT16" s="106" t="str" cm="1">
        <f t="array" aca="1" ref="AT16" ca="1">IFERROR(INDEX($AL$2:$AL$30, SMALL(IF($AL$2:$AL$30&lt;&gt;"", ROW($AL$2:$AL$30)-1), ROW(A14))), "")</f>
        <v/>
      </c>
      <c r="AU16" s="107" t="str" cm="1">
        <f t="array" aca="1" ref="AU16" ca="1">IFERROR(INDEX($AM$2:$AM$30, SMALL(IF($AM$2:$AM$30&lt;&gt;"", ROW($AM$2:$AM$30)-1), ROW(A14))), "")</f>
        <v/>
      </c>
      <c r="AV16" s="100" t="str" cm="1">
        <f t="array" ref="AV16">IFERROR(INDEX($AO$2:$AO$30, SMALL(IF($AO$2:$AO$30&lt;&gt;"", ROW($AO$2:$AO$30)-1), ROW(A15))), "")</f>
        <v xml:space="preserve">CARLOS HENRIQUE </v>
      </c>
    </row>
    <row r="17" spans="1:48">
      <c r="A17" s="101">
        <v>208</v>
      </c>
      <c r="B17" s="102" t="s">
        <v>311</v>
      </c>
      <c r="C17" s="92">
        <f t="shared" si="0"/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 t="e">
        <f t="shared" ca="1" si="1"/>
        <v>#N/A</v>
      </c>
      <c r="AJ17" s="2" t="e">
        <f t="shared" ca="1" si="2"/>
        <v>#N/A</v>
      </c>
      <c r="AK17" s="2" t="e">
        <f t="shared" ca="1" si="3"/>
        <v>#N/A</v>
      </c>
      <c r="AL17" s="2" t="e">
        <f t="shared" ca="1" si="4"/>
        <v>#N/A</v>
      </c>
      <c r="AM17" s="2" t="e">
        <f t="shared" ca="1" si="5"/>
        <v>#N/A</v>
      </c>
      <c r="AN17" s="2"/>
      <c r="AO17" s="93" t="str">
        <f t="shared" si="6"/>
        <v>MAICON CARVALHO</v>
      </c>
      <c r="AP17" s="94"/>
      <c r="AQ17" s="103" t="str" cm="1">
        <f t="array" aca="1" ref="AQ17" ca="1">IFERROR(INDEX($AI$2:$AI$30, SMALL(IF($AI$2:$AI$30&lt;&gt;"", ROW($AI$2:$AI$30)-1), ROW(A15))), "")</f>
        <v/>
      </c>
      <c r="AR17" s="104" t="str" cm="1">
        <f t="array" aca="1" ref="AR17" ca="1">IFERROR(INDEX($AJ$2:$AJ$30, SMALL(IF($AJ$2:$AJ$30&lt;&gt;"", ROW($AJ$2:$AJ$30)-1), ROW(A15))), "")</f>
        <v/>
      </c>
      <c r="AS17" s="105" t="str" cm="1">
        <f t="array" aca="1" ref="AS17" ca="1">IFERROR(INDEX($AK$2:$AK$30, SMALL(IF($AK$2:$AK$30&lt;&gt;"", ROW($AK$2:$AK$30)-1), ROW(A15))), "")</f>
        <v/>
      </c>
      <c r="AT17" s="106" t="str" cm="1">
        <f t="array" aca="1" ref="AT17" ca="1">IFERROR(INDEX($AL$2:$AL$30, SMALL(IF($AL$2:$AL$30&lt;&gt;"", ROW($AL$2:$AL$30)-1), ROW(A15))), "")</f>
        <v/>
      </c>
      <c r="AU17" s="107" t="str" cm="1">
        <f t="array" aca="1" ref="AU17" ca="1">IFERROR(INDEX($AM$2:$AM$30, SMALL(IF($AM$2:$AM$30&lt;&gt;"", ROW($AM$2:$AM$30)-1), ROW(A15))), "")</f>
        <v/>
      </c>
      <c r="AV17" s="100" t="str" cm="1">
        <f t="array" ref="AV17">IFERROR(INDEX($AO$2:$AO$30, SMALL(IF($AO$2:$AO$30&lt;&gt;"", ROW($AO$2:$AO$30)-1), ROW(A16))), "")</f>
        <v>MAICON CARVALHO</v>
      </c>
    </row>
    <row r="18" spans="1:48" hidden="1">
      <c r="A18" s="90">
        <v>209</v>
      </c>
      <c r="B18" s="91" t="s">
        <v>312</v>
      </c>
      <c r="C18" s="92">
        <f t="shared" si="0"/>
        <v>0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 t="e">
        <f t="shared" ca="1" si="1"/>
        <v>#N/A</v>
      </c>
      <c r="AJ18" s="2" t="e">
        <f t="shared" ca="1" si="2"/>
        <v>#N/A</v>
      </c>
      <c r="AK18" s="2" t="e">
        <f t="shared" ca="1" si="3"/>
        <v>#N/A</v>
      </c>
      <c r="AL18" s="2" t="e">
        <f t="shared" ca="1" si="4"/>
        <v>#N/A</v>
      </c>
      <c r="AM18" s="2" t="e">
        <f t="shared" ca="1" si="5"/>
        <v>#N/A</v>
      </c>
      <c r="AN18" s="2"/>
      <c r="AO18" s="93" t="str">
        <f t="shared" si="6"/>
        <v>JOSENILSON COIMBRA DOS SANTOS</v>
      </c>
      <c r="AP18" s="94"/>
      <c r="AQ18" s="103" t="str" cm="1">
        <f t="array" aca="1" ref="AQ18" ca="1">IFERROR(INDEX($AI$2:$AI$30, SMALL(IF($AI$2:$AI$30&lt;&gt;"", ROW($AI$2:$AI$30)-1), ROW(A16))), "")</f>
        <v/>
      </c>
      <c r="AR18" s="104" t="str" cm="1">
        <f t="array" aca="1" ref="AR18" ca="1">IFERROR(INDEX($AJ$2:$AJ$30, SMALL(IF($AJ$2:$AJ$30&lt;&gt;"", ROW($AJ$2:$AJ$30)-1), ROW(A16))), "")</f>
        <v/>
      </c>
      <c r="AS18" s="105" t="str" cm="1">
        <f t="array" aca="1" ref="AS18" ca="1">IFERROR(INDEX($AK$2:$AK$30, SMALL(IF($AK$2:$AK$30&lt;&gt;"", ROW($AK$2:$AK$30)-1), ROW(A16))), "")</f>
        <v/>
      </c>
      <c r="AT18" s="106" t="str" cm="1">
        <f t="array" aca="1" ref="AT18" ca="1">IFERROR(INDEX($AL$2:$AL$30, SMALL(IF($AL$2:$AL$30&lt;&gt;"", ROW($AL$2:$AL$30)-1), ROW(A16))), "")</f>
        <v/>
      </c>
      <c r="AU18" s="107" t="str" cm="1">
        <f t="array" aca="1" ref="AU18" ca="1">IFERROR(INDEX($AM$2:$AM$30, SMALL(IF($AM$2:$AM$30&lt;&gt;"", ROW($AM$2:$AM$30)-1), ROW(A16))), "")</f>
        <v/>
      </c>
      <c r="AV18" s="100" t="str" cm="1">
        <f t="array" ref="AV18">IFERROR(INDEX($AO$2:$AO$30, SMALL(IF($AO$2:$AO$30&lt;&gt;"", ROW($AO$2:$AO$30)-1), ROW(A17))), "")</f>
        <v>JOSENILSON COIMBRA DOS SANTOS</v>
      </c>
    </row>
    <row r="19" spans="1:48" hidden="1">
      <c r="A19" s="101">
        <v>217</v>
      </c>
      <c r="B19" s="102" t="s">
        <v>313</v>
      </c>
      <c r="C19" s="92">
        <f t="shared" si="0"/>
        <v>0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 t="e">
        <f t="shared" ca="1" si="1"/>
        <v>#N/A</v>
      </c>
      <c r="AJ19" s="2" t="e">
        <f t="shared" ca="1" si="2"/>
        <v>#N/A</v>
      </c>
      <c r="AK19" s="2" t="e">
        <f t="shared" ca="1" si="3"/>
        <v>#N/A</v>
      </c>
      <c r="AL19" s="2" t="e">
        <f t="shared" ca="1" si="4"/>
        <v>#N/A</v>
      </c>
      <c r="AM19" s="2" t="e">
        <f t="shared" ca="1" si="5"/>
        <v>#N/A</v>
      </c>
      <c r="AN19" s="2"/>
      <c r="AO19" s="93" t="str">
        <f t="shared" si="6"/>
        <v>FELIPE DE OLIVEIRA PORTO</v>
      </c>
      <c r="AP19" s="94"/>
      <c r="AQ19" s="103" t="str" cm="1">
        <f t="array" aca="1" ref="AQ19" ca="1">IFERROR(INDEX($AI$2:$AI$30, SMALL(IF($AI$2:$AI$30&lt;&gt;"", ROW($AI$2:$AI$30)-1), ROW(A17))), "")</f>
        <v/>
      </c>
      <c r="AR19" s="104" t="str" cm="1">
        <f t="array" aca="1" ref="AR19" ca="1">IFERROR(INDEX($AJ$2:$AJ$30, SMALL(IF($AJ$2:$AJ$30&lt;&gt;"", ROW($AJ$2:$AJ$30)-1), ROW(A17))), "")</f>
        <v/>
      </c>
      <c r="AS19" s="105" t="str" cm="1">
        <f t="array" aca="1" ref="AS19" ca="1">IFERROR(INDEX($AK$2:$AK$30, SMALL(IF($AK$2:$AK$30&lt;&gt;"", ROW($AK$2:$AK$30)-1), ROW(A17))), "")</f>
        <v/>
      </c>
      <c r="AT19" s="106" t="str" cm="1">
        <f t="array" aca="1" ref="AT19" ca="1">IFERROR(INDEX($AL$2:$AL$30, SMALL(IF($AL$2:$AL$30&lt;&gt;"", ROW($AL$2:$AL$30)-1), ROW(A17))), "")</f>
        <v/>
      </c>
      <c r="AU19" s="107" t="str" cm="1">
        <f t="array" aca="1" ref="AU19" ca="1">IFERROR(INDEX($AM$2:$AM$30, SMALL(IF($AM$2:$AM$30&lt;&gt;"", ROW($AM$2:$AM$30)-1), ROW(A17))), "")</f>
        <v/>
      </c>
      <c r="AV19" s="100" t="str" cm="1">
        <f t="array" ref="AV19">IFERROR(INDEX($AO$2:$AO$30, SMALL(IF($AO$2:$AO$30&lt;&gt;"", ROW($AO$2:$AO$30)-1), ROW(A18))), "")</f>
        <v>FELIPE DE OLIVEIRA PORTO</v>
      </c>
    </row>
    <row r="20" spans="1:48" hidden="1">
      <c r="A20" s="101">
        <v>218</v>
      </c>
      <c r="B20" s="102" t="s">
        <v>314</v>
      </c>
      <c r="C20" s="92">
        <f t="shared" si="0"/>
        <v>0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 t="e">
        <f t="shared" ca="1" si="1"/>
        <v>#N/A</v>
      </c>
      <c r="AJ20" s="2" t="e">
        <f t="shared" ca="1" si="2"/>
        <v>#N/A</v>
      </c>
      <c r="AK20" s="2" t="e">
        <f t="shared" ca="1" si="3"/>
        <v>#N/A</v>
      </c>
      <c r="AL20" s="2" t="e">
        <f t="shared" ca="1" si="4"/>
        <v>#N/A</v>
      </c>
      <c r="AM20" s="2" t="e">
        <f t="shared" ca="1" si="5"/>
        <v>#N/A</v>
      </c>
      <c r="AN20" s="2"/>
      <c r="AO20" s="93" t="str">
        <f t="shared" si="6"/>
        <v>JEAN VITOR FERNANDES</v>
      </c>
      <c r="AP20" s="94"/>
      <c r="AQ20" s="103" t="str" cm="1">
        <f t="array" aca="1" ref="AQ20" ca="1">IFERROR(INDEX($AI$2:$AI$30, SMALL(IF($AI$2:$AI$30&lt;&gt;"", ROW($AI$2:$AI$30)-1), ROW(A18))), "")</f>
        <v/>
      </c>
      <c r="AR20" s="104" t="str" cm="1">
        <f t="array" aca="1" ref="AR20" ca="1">IFERROR(INDEX($AJ$2:$AJ$30, SMALL(IF($AJ$2:$AJ$30&lt;&gt;"", ROW($AJ$2:$AJ$30)-1), ROW(A18))), "")</f>
        <v/>
      </c>
      <c r="AS20" s="105" t="str" cm="1">
        <f t="array" aca="1" ref="AS20" ca="1">IFERROR(INDEX($AK$2:$AK$30, SMALL(IF($AK$2:$AK$30&lt;&gt;"", ROW($AK$2:$AK$30)-1), ROW(A18))), "")</f>
        <v/>
      </c>
      <c r="AT20" s="106" t="str" cm="1">
        <f t="array" aca="1" ref="AT20" ca="1">IFERROR(INDEX($AL$2:$AL$30, SMALL(IF($AL$2:$AL$30&lt;&gt;"", ROW($AL$2:$AL$30)-1), ROW(A18))), "")</f>
        <v/>
      </c>
      <c r="AU20" s="107" t="str" cm="1">
        <f t="array" aca="1" ref="AU20" ca="1">IFERROR(INDEX($AM$2:$AM$30, SMALL(IF($AM$2:$AM$30&lt;&gt;"", ROW($AM$2:$AM$30)-1), ROW(A18))), "")</f>
        <v/>
      </c>
      <c r="AV20" s="100" t="str" cm="1">
        <f t="array" ref="AV20">IFERROR(INDEX($AO$2:$AO$30, SMALL(IF($AO$2:$AO$30&lt;&gt;"", ROW($AO$2:$AO$30)-1), ROW(A19))), "")</f>
        <v>JEAN VITOR FERNANDES</v>
      </c>
    </row>
    <row r="21" spans="1:48">
      <c r="A21" s="101">
        <v>224</v>
      </c>
      <c r="B21" s="102" t="s">
        <v>315</v>
      </c>
      <c r="C21" s="92">
        <f t="shared" si="0"/>
        <v>0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 t="e">
        <f t="shared" ca="1" si="1"/>
        <v>#N/A</v>
      </c>
      <c r="AJ21" s="2" t="e">
        <f t="shared" ca="1" si="2"/>
        <v>#N/A</v>
      </c>
      <c r="AK21" s="2" t="e">
        <f t="shared" ca="1" si="3"/>
        <v>#N/A</v>
      </c>
      <c r="AL21" s="2" t="e">
        <f t="shared" ca="1" si="4"/>
        <v>#N/A</v>
      </c>
      <c r="AM21" s="2" t="e">
        <f t="shared" ca="1" si="5"/>
        <v>#N/A</v>
      </c>
      <c r="AN21" s="2"/>
      <c r="AO21" s="93" t="str">
        <f t="shared" si="6"/>
        <v>DOUGLAS ALVES RIBEIRO</v>
      </c>
      <c r="AP21" s="94"/>
      <c r="AQ21" s="103" t="str" cm="1">
        <f t="array" aca="1" ref="AQ21" ca="1">IFERROR(INDEX($AI$2:$AI$30, SMALL(IF($AI$2:$AI$30&lt;&gt;"", ROW($AI$2:$AI$30)-1), ROW(A19))), "")</f>
        <v/>
      </c>
      <c r="AR21" s="104" t="str" cm="1">
        <f t="array" aca="1" ref="AR21" ca="1">IFERROR(INDEX($AJ$2:$AJ$30, SMALL(IF($AJ$2:$AJ$30&lt;&gt;"", ROW($AJ$2:$AJ$30)-1), ROW(A19))), "")</f>
        <v/>
      </c>
      <c r="AS21" s="105" t="str" cm="1">
        <f t="array" aca="1" ref="AS21" ca="1">IFERROR(INDEX($AK$2:$AK$30, SMALL(IF($AK$2:$AK$30&lt;&gt;"", ROW($AK$2:$AK$30)-1), ROW(A19))), "")</f>
        <v/>
      </c>
      <c r="AT21" s="106" t="str" cm="1">
        <f t="array" aca="1" ref="AT21" ca="1">IFERROR(INDEX($AL$2:$AL$30, SMALL(IF($AL$2:$AL$30&lt;&gt;"", ROW($AL$2:$AL$30)-1), ROW(A19))), "")</f>
        <v/>
      </c>
      <c r="AU21" s="107" t="str" cm="1">
        <f t="array" aca="1" ref="AU21" ca="1">IFERROR(INDEX($AM$2:$AM$30, SMALL(IF($AM$2:$AM$30&lt;&gt;"", ROW($AM$2:$AM$30)-1), ROW(A19))), "")</f>
        <v/>
      </c>
      <c r="AV21" s="100" t="str" cm="1">
        <f t="array" ref="AV21">IFERROR(INDEX($AO$2:$AO$30, SMALL(IF($AO$2:$AO$30&lt;&gt;"", ROW($AO$2:$AO$30)-1), ROW(A20))), "")</f>
        <v>DOUGLAS ALVES RIBEIRO</v>
      </c>
    </row>
    <row r="22" spans="1:48" hidden="1">
      <c r="A22" s="101">
        <v>232</v>
      </c>
      <c r="B22" s="102" t="s">
        <v>316</v>
      </c>
      <c r="C22" s="92">
        <f t="shared" si="0"/>
        <v>0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 t="e">
        <f t="shared" ca="1" si="1"/>
        <v>#N/A</v>
      </c>
      <c r="AJ22" s="2" t="e">
        <f t="shared" ca="1" si="2"/>
        <v>#N/A</v>
      </c>
      <c r="AK22" s="2" t="e">
        <f t="shared" ca="1" si="3"/>
        <v>#N/A</v>
      </c>
      <c r="AL22" s="2" t="e">
        <f t="shared" ca="1" si="4"/>
        <v>#N/A</v>
      </c>
      <c r="AM22" s="2" t="e">
        <f t="shared" ca="1" si="5"/>
        <v>#N/A</v>
      </c>
      <c r="AN22" s="2"/>
      <c r="AO22" s="93" t="str">
        <f t="shared" si="6"/>
        <v>CRISTIANO NASCIMENTO IZE</v>
      </c>
      <c r="AP22" s="94"/>
      <c r="AQ22" s="103" t="str" cm="1">
        <f t="array" aca="1" ref="AQ22" ca="1">IFERROR(INDEX($AI$2:$AI$30, SMALL(IF($AI$2:$AI$30&lt;&gt;"", ROW($AI$2:$AI$30)-1), ROW(A20))), "")</f>
        <v/>
      </c>
      <c r="AR22" s="104" t="str" cm="1">
        <f t="array" aca="1" ref="AR22" ca="1">IFERROR(INDEX($AJ$2:$AJ$30, SMALL(IF($AJ$2:$AJ$30&lt;&gt;"", ROW($AJ$2:$AJ$30)-1), ROW(A20))), "")</f>
        <v/>
      </c>
      <c r="AS22" s="105" t="str" cm="1">
        <f t="array" aca="1" ref="AS22" ca="1">IFERROR(INDEX($AK$2:$AK$30, SMALL(IF($AK$2:$AK$30&lt;&gt;"", ROW($AK$2:$AK$30)-1), ROW(A20))), "")</f>
        <v/>
      </c>
      <c r="AT22" s="106" t="str" cm="1">
        <f t="array" aca="1" ref="AT22" ca="1">IFERROR(INDEX($AL$2:$AL$30, SMALL(IF($AL$2:$AL$30&lt;&gt;"", ROW($AL$2:$AL$30)-1), ROW(A20))), "")</f>
        <v/>
      </c>
      <c r="AU22" s="107" t="str" cm="1">
        <f t="array" aca="1" ref="AU22" ca="1">IFERROR(INDEX($AM$2:$AM$30, SMALL(IF($AM$2:$AM$30&lt;&gt;"", ROW($AM$2:$AM$30)-1), ROW(A20))), "")</f>
        <v/>
      </c>
      <c r="AV22" s="100" t="str" cm="1">
        <f t="array" ref="AV22">IFERROR(INDEX($AO$2:$AO$30, SMALL(IF($AO$2:$AO$30&lt;&gt;"", ROW($AO$2:$AO$30)-1), ROW(A21))), "")</f>
        <v>CRISTIANO NASCIMENTO IZE</v>
      </c>
    </row>
    <row r="23" spans="1:48" hidden="1">
      <c r="A23" s="90">
        <v>236</v>
      </c>
      <c r="B23" s="102" t="s">
        <v>317</v>
      </c>
      <c r="C23" s="92">
        <f t="shared" si="0"/>
        <v>0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 t="e">
        <f t="shared" ca="1" si="1"/>
        <v>#N/A</v>
      </c>
      <c r="AJ23" s="2" t="e">
        <f t="shared" ca="1" si="2"/>
        <v>#N/A</v>
      </c>
      <c r="AK23" s="2" t="e">
        <f t="shared" ca="1" si="3"/>
        <v>#N/A</v>
      </c>
      <c r="AL23" s="2" t="e">
        <f t="shared" ca="1" si="4"/>
        <v>#N/A</v>
      </c>
      <c r="AM23" s="2" t="e">
        <f t="shared" ca="1" si="5"/>
        <v>#N/A</v>
      </c>
      <c r="AN23" s="2"/>
      <c r="AO23" s="93" t="str">
        <f t="shared" si="6"/>
        <v>ALEXANDRE LOPEZ</v>
      </c>
      <c r="AP23" s="94"/>
      <c r="AQ23" s="103" t="str" cm="1">
        <f t="array" aca="1" ref="AQ23" ca="1">IFERROR(INDEX($AI$2:$AI$30, SMALL(IF($AI$2:$AI$30&lt;&gt;"", ROW($AI$2:$AI$30)-1), ROW(A21))), "")</f>
        <v/>
      </c>
      <c r="AR23" s="104" t="str" cm="1">
        <f t="array" aca="1" ref="AR23" ca="1">IFERROR(INDEX($AJ$2:$AJ$30, SMALL(IF($AJ$2:$AJ$30&lt;&gt;"", ROW($AJ$2:$AJ$30)-1), ROW(A21))), "")</f>
        <v/>
      </c>
      <c r="AS23" s="105" t="str" cm="1">
        <f t="array" aca="1" ref="AS23" ca="1">IFERROR(INDEX($AK$2:$AK$30, SMALL(IF($AK$2:$AK$30&lt;&gt;"", ROW($AK$2:$AK$30)-1), ROW(A21))), "")</f>
        <v/>
      </c>
      <c r="AT23" s="106" t="str" cm="1">
        <f t="array" aca="1" ref="AT23" ca="1">IFERROR(INDEX($AL$2:$AL$30, SMALL(IF($AL$2:$AL$30&lt;&gt;"", ROW($AL$2:$AL$30)-1), ROW(A21))), "")</f>
        <v/>
      </c>
      <c r="AU23" s="107" t="str" cm="1">
        <f t="array" aca="1" ref="AU23" ca="1">IFERROR(INDEX($AM$2:$AM$30, SMALL(IF($AM$2:$AM$30&lt;&gt;"", ROW($AM$2:$AM$30)-1), ROW(A21))), "")</f>
        <v/>
      </c>
      <c r="AV23" s="100" t="str" cm="1">
        <f t="array" ref="AV23">IFERROR(INDEX($AO$2:$AO$30, SMALL(IF($AO$2:$AO$30&lt;&gt;"", ROW($AO$2:$AO$30)-1), ROW(A22))), "")</f>
        <v>ALEXANDRE LOPEZ</v>
      </c>
    </row>
    <row r="24" spans="1:48" hidden="1">
      <c r="A24" s="101">
        <v>244</v>
      </c>
      <c r="B24" s="102" t="s">
        <v>318</v>
      </c>
      <c r="C24" s="92">
        <f t="shared" si="0"/>
        <v>0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 t="e">
        <f t="shared" ca="1" si="1"/>
        <v>#N/A</v>
      </c>
      <c r="AJ24" s="2" t="e">
        <f t="shared" ca="1" si="2"/>
        <v>#N/A</v>
      </c>
      <c r="AK24" s="2" t="e">
        <f t="shared" ca="1" si="3"/>
        <v>#N/A</v>
      </c>
      <c r="AL24" s="2" t="e">
        <f t="shared" ca="1" si="4"/>
        <v>#N/A</v>
      </c>
      <c r="AM24" s="2" t="e">
        <f t="shared" ca="1" si="5"/>
        <v>#N/A</v>
      </c>
      <c r="AN24" s="2"/>
      <c r="AO24" s="93" t="str">
        <f t="shared" si="6"/>
        <v>ANDRE APARECIDO</v>
      </c>
      <c r="AP24" s="94"/>
      <c r="AQ24" s="103" t="str" cm="1">
        <f t="array" aca="1" ref="AQ24" ca="1">IFERROR(INDEX($AI$2:$AI$30, SMALL(IF($AI$2:$AI$30&lt;&gt;"", ROW($AI$2:$AI$30)-1), ROW(A22))), "")</f>
        <v/>
      </c>
      <c r="AR24" s="104" t="str" cm="1">
        <f t="array" aca="1" ref="AR24" ca="1">IFERROR(INDEX($AJ$2:$AJ$30, SMALL(IF($AJ$2:$AJ$30&lt;&gt;"", ROW($AJ$2:$AJ$30)-1), ROW(A22))), "")</f>
        <v/>
      </c>
      <c r="AS24" s="105" t="str" cm="1">
        <f t="array" aca="1" ref="AS24" ca="1">IFERROR(INDEX($AK$2:$AK$30, SMALL(IF($AK$2:$AK$30&lt;&gt;"", ROW($AK$2:$AK$30)-1), ROW(A22))), "")</f>
        <v/>
      </c>
      <c r="AT24" s="106" t="str" cm="1">
        <f t="array" aca="1" ref="AT24" ca="1">IFERROR(INDEX($AL$2:$AL$30, SMALL(IF($AL$2:$AL$30&lt;&gt;"", ROW($AL$2:$AL$30)-1), ROW(A22))), "")</f>
        <v/>
      </c>
      <c r="AU24" s="107" t="str" cm="1">
        <f t="array" aca="1" ref="AU24" ca="1">IFERROR(INDEX($AM$2:$AM$30, SMALL(IF($AM$2:$AM$30&lt;&gt;"", ROW($AM$2:$AM$30)-1), ROW(A22))), "")</f>
        <v/>
      </c>
      <c r="AV24" s="100" t="str" cm="1">
        <f t="array" ref="AV24">IFERROR(INDEX($AO$2:$AO$30, SMALL(IF($AO$2:$AO$30&lt;&gt;"", ROW($AO$2:$AO$30)-1), ROW(A23))), "")</f>
        <v>ANDRE APARECIDO</v>
      </c>
    </row>
    <row r="25" spans="1:48" hidden="1">
      <c r="A25" s="101">
        <v>245</v>
      </c>
      <c r="B25" s="102" t="s">
        <v>319</v>
      </c>
      <c r="C25" s="92">
        <f t="shared" si="0"/>
        <v>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 t="e">
        <f t="shared" ca="1" si="1"/>
        <v>#N/A</v>
      </c>
      <c r="AJ25" s="2" t="e">
        <f t="shared" ca="1" si="2"/>
        <v>#N/A</v>
      </c>
      <c r="AK25" s="2" t="e">
        <f t="shared" ca="1" si="3"/>
        <v>#N/A</v>
      </c>
      <c r="AL25" s="2" t="e">
        <f t="shared" ca="1" si="4"/>
        <v>#N/A</v>
      </c>
      <c r="AM25" s="2" t="e">
        <f t="shared" ca="1" si="5"/>
        <v>#N/A</v>
      </c>
      <c r="AN25" s="2"/>
      <c r="AO25" s="93" t="str">
        <f t="shared" si="6"/>
        <v>GELSON OLIVEIRA</v>
      </c>
      <c r="AP25" s="94"/>
      <c r="AQ25" s="103" t="str" cm="1">
        <f t="array" aca="1" ref="AQ25" ca="1">IFERROR(INDEX($AI$2:$AI$30, SMALL(IF($AI$2:$AI$30&lt;&gt;"", ROW($AI$2:$AI$30)-1), ROW(A23))), "")</f>
        <v/>
      </c>
      <c r="AR25" s="104" t="str" cm="1">
        <f t="array" aca="1" ref="AR25" ca="1">IFERROR(INDEX($AJ$2:$AJ$30, SMALL(IF($AJ$2:$AJ$30&lt;&gt;"", ROW($AJ$2:$AJ$30)-1), ROW(A23))), "")</f>
        <v/>
      </c>
      <c r="AS25" s="105" t="str" cm="1">
        <f t="array" aca="1" ref="AS25" ca="1">IFERROR(INDEX($AK$2:$AK$30, SMALL(IF($AK$2:$AK$30&lt;&gt;"", ROW($AK$2:$AK$30)-1), ROW(A23))), "")</f>
        <v/>
      </c>
      <c r="AT25" s="106" t="str" cm="1">
        <f t="array" aca="1" ref="AT25" ca="1">IFERROR(INDEX($AL$2:$AL$30, SMALL(IF($AL$2:$AL$30&lt;&gt;"", ROW($AL$2:$AL$30)-1), ROW(A23))), "")</f>
        <v/>
      </c>
      <c r="AU25" s="107" t="str" cm="1">
        <f t="array" aca="1" ref="AU25" ca="1">IFERROR(INDEX($AM$2:$AM$30, SMALL(IF($AM$2:$AM$30&lt;&gt;"", ROW($AM$2:$AM$30)-1), ROW(A23))), "")</f>
        <v/>
      </c>
      <c r="AV25" s="100" t="str" cm="1">
        <f t="array" ref="AV25">IFERROR(INDEX($AO$2:$AO$30, SMALL(IF($AO$2:$AO$30&lt;&gt;"", ROW($AO$2:$AO$30)-1), ROW(A24))), "")</f>
        <v>GELSON OLIVEIRA</v>
      </c>
    </row>
    <row r="26" spans="1:48">
      <c r="A26" s="101">
        <v>268</v>
      </c>
      <c r="B26" s="102" t="s">
        <v>321</v>
      </c>
      <c r="C26" s="92">
        <f t="shared" si="0"/>
        <v>0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 t="e">
        <f t="shared" ca="1" si="1"/>
        <v>#N/A</v>
      </c>
      <c r="AJ26" s="2" t="e">
        <f t="shared" ca="1" si="2"/>
        <v>#N/A</v>
      </c>
      <c r="AK26" s="2" t="e">
        <f t="shared" ca="1" si="3"/>
        <v>#N/A</v>
      </c>
      <c r="AL26" s="2" t="e">
        <f t="shared" ca="1" si="4"/>
        <v>#N/A</v>
      </c>
      <c r="AM26" s="2" t="e">
        <f t="shared" ca="1" si="5"/>
        <v>#N/A</v>
      </c>
      <c r="AN26" s="2"/>
      <c r="AO26" s="93" t="str">
        <f t="shared" si="6"/>
        <v>JOSE GERALDO NEUS</v>
      </c>
      <c r="AP26" s="94"/>
      <c r="AQ26" s="103" t="str" cm="1">
        <f t="array" aca="1" ref="AQ26" ca="1">IFERROR(INDEX($AI$2:$AI$30, SMALL(IF($AI$2:$AI$30&lt;&gt;"", ROW($AI$2:$AI$30)-1), ROW(A24))), "")</f>
        <v/>
      </c>
      <c r="AR26" s="104" t="str" cm="1">
        <f t="array" aca="1" ref="AR26" ca="1">IFERROR(INDEX($AJ$2:$AJ$30, SMALL(IF($AJ$2:$AJ$30&lt;&gt;"", ROW($AJ$2:$AJ$30)-1), ROW(A24))), "")</f>
        <v/>
      </c>
      <c r="AS26" s="105" t="str" cm="1">
        <f t="array" aca="1" ref="AS26" ca="1">IFERROR(INDEX($AK$2:$AK$30, SMALL(IF($AK$2:$AK$30&lt;&gt;"", ROW($AK$2:$AK$30)-1), ROW(A24))), "")</f>
        <v/>
      </c>
      <c r="AT26" s="106" t="str" cm="1">
        <f t="array" aca="1" ref="AT26" ca="1">IFERROR(INDEX($AL$2:$AL$30, SMALL(IF($AL$2:$AL$30&lt;&gt;"", ROW($AL$2:$AL$30)-1), ROW(A24))), "")</f>
        <v/>
      </c>
      <c r="AU26" s="107" t="str" cm="1">
        <f t="array" aca="1" ref="AU26" ca="1">IFERROR(INDEX($AM$2:$AM$30, SMALL(IF($AM$2:$AM$30&lt;&gt;"", ROW($AM$2:$AM$30)-1), ROW(A24))), "")</f>
        <v/>
      </c>
      <c r="AV26" s="100" t="str" cm="1">
        <f t="array" ref="AV26">IFERROR(INDEX($AO$2:$AO$30, SMALL(IF($AO$2:$AO$30&lt;&gt;"", ROW($AO$2:$AO$30)-1), ROW(A25))), "")</f>
        <v>JOSE GERALDO NEUS</v>
      </c>
    </row>
    <row r="27" spans="1:48" hidden="1">
      <c r="A27" s="108">
        <v>269</v>
      </c>
      <c r="B27" s="109" t="s">
        <v>322</v>
      </c>
      <c r="C27" s="92">
        <f t="shared" si="0"/>
        <v>0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 t="e">
        <f t="shared" ca="1" si="1"/>
        <v>#N/A</v>
      </c>
      <c r="AJ27" s="2" t="e">
        <f t="shared" ca="1" si="2"/>
        <v>#N/A</v>
      </c>
      <c r="AK27" s="2" t="e">
        <f t="shared" ca="1" si="3"/>
        <v>#N/A</v>
      </c>
      <c r="AL27" s="2" t="e">
        <f t="shared" ca="1" si="4"/>
        <v>#N/A</v>
      </c>
      <c r="AM27" s="2" t="e">
        <f t="shared" ca="1" si="5"/>
        <v>#N/A</v>
      </c>
      <c r="AN27" s="2"/>
      <c r="AO27" s="93" t="str">
        <f t="shared" si="6"/>
        <v>RAFAEL SANTOS</v>
      </c>
      <c r="AP27" s="94"/>
      <c r="AQ27" s="103" t="str" cm="1">
        <f t="array" aca="1" ref="AQ27" ca="1">IFERROR(INDEX($AI$2:$AI$30, SMALL(IF($AI$2:$AI$30&lt;&gt;"", ROW($AI$2:$AI$30)-1), ROW(A25))), "")</f>
        <v/>
      </c>
      <c r="AR27" s="104" t="str" cm="1">
        <f t="array" aca="1" ref="AR27" ca="1">IFERROR(INDEX($AJ$2:$AJ$30, SMALL(IF($AJ$2:$AJ$30&lt;&gt;"", ROW($AJ$2:$AJ$30)-1), ROW(A25))), "")</f>
        <v/>
      </c>
      <c r="AS27" s="105" t="str" cm="1">
        <f t="array" aca="1" ref="AS27" ca="1">IFERROR(INDEX($AK$2:$AK$30, SMALL(IF($AK$2:$AK$30&lt;&gt;"", ROW($AK$2:$AK$30)-1), ROW(A25))), "")</f>
        <v/>
      </c>
      <c r="AT27" s="106" t="str" cm="1">
        <f t="array" aca="1" ref="AT27" ca="1">IFERROR(INDEX($AL$2:$AL$30, SMALL(IF($AL$2:$AL$30&lt;&gt;"", ROW($AL$2:$AL$30)-1), ROW(A25))), "")</f>
        <v/>
      </c>
      <c r="AU27" s="107" t="str" cm="1">
        <f t="array" aca="1" ref="AU27" ca="1">IFERROR(INDEX($AM$2:$AM$30, SMALL(IF($AM$2:$AM$30&lt;&gt;"", ROW($AM$2:$AM$30)-1), ROW(A25))), "")</f>
        <v/>
      </c>
      <c r="AV27" s="100" t="str" cm="1">
        <f t="array" ref="AV27">IFERROR(INDEX($AO$2:$AO$30, SMALL(IF($AO$2:$AO$30&lt;&gt;"", ROW($AO$2:$AO$30)-1), ROW(A24))), "")</f>
        <v>GELSON OLIVEIRA</v>
      </c>
    </row>
    <row r="28" spans="1:48" hidden="1">
      <c r="A28" s="101">
        <v>270</v>
      </c>
      <c r="B28" s="102" t="s">
        <v>323</v>
      </c>
      <c r="C28" s="92">
        <f t="shared" si="0"/>
        <v>0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 t="e">
        <f t="shared" ca="1" si="1"/>
        <v>#N/A</v>
      </c>
      <c r="AJ28" s="2" t="e">
        <f t="shared" ca="1" si="2"/>
        <v>#N/A</v>
      </c>
      <c r="AK28" s="2" t="e">
        <f t="shared" ca="1" si="3"/>
        <v>#N/A</v>
      </c>
      <c r="AL28" s="2" t="e">
        <f t="shared" ca="1" si="4"/>
        <v>#N/A</v>
      </c>
      <c r="AM28" s="2" t="e">
        <f t="shared" ca="1" si="5"/>
        <v>#N/A</v>
      </c>
      <c r="AN28" s="2"/>
      <c r="AO28" s="93" t="str">
        <f t="shared" si="6"/>
        <v>DAVID LUCAS DE JESUS</v>
      </c>
      <c r="AP28" s="94"/>
      <c r="AQ28" s="103" t="str" cm="1">
        <f t="array" aca="1" ref="AQ28" ca="1">IFERROR(INDEX($AI$2:$AI$30, SMALL(IF($AI$2:$AI$30&lt;&gt;"", ROW($AI$2:$AI$30)-1), ROW(A24))), "")</f>
        <v/>
      </c>
      <c r="AR28" s="104" t="str" cm="1">
        <f t="array" aca="1" ref="AR28" ca="1">IFERROR(INDEX($AJ$2:$AJ$30, SMALL(IF($AJ$2:$AJ$30&lt;&gt;"", ROW($AJ$2:$AJ$30)-1), ROW(A24))), "")</f>
        <v/>
      </c>
      <c r="AS28" s="105" t="str" cm="1">
        <f t="array" aca="1" ref="AS28" ca="1">IFERROR(INDEX($AK$2:$AK$30, SMALL(IF($AK$2:$AK$30&lt;&gt;"", ROW($AK$2:$AK$30)-1), ROW(A24))), "")</f>
        <v/>
      </c>
      <c r="AT28" s="106" t="str" cm="1">
        <f t="array" aca="1" ref="AT28" ca="1">IFERROR(INDEX($AL$2:$AL$30, SMALL(IF($AL$2:$AL$30&lt;&gt;"", ROW($AL$2:$AL$30)-1), ROW(A24))), "")</f>
        <v/>
      </c>
      <c r="AU28" s="107" t="str" cm="1">
        <f t="array" aca="1" ref="AU28" ca="1">IFERROR(INDEX($AM$2:$AM$30, SMALL(IF($AM$2:$AM$30&lt;&gt;"", ROW($AM$2:$AM$30)-1), ROW(A24))), "")</f>
        <v/>
      </c>
      <c r="AV28" s="100" t="str" cm="1">
        <f t="array" ref="AV28">IFERROR(INDEX($AO$2:$AO$30, SMALL(IF($AO$2:$AO$30&lt;&gt;"", ROW($AO$2:$AO$30)-1), ROW(A25))), "")</f>
        <v>JOSE GERALDO NEUS</v>
      </c>
    </row>
    <row r="29" spans="1:48" hidden="1">
      <c r="A29" s="110">
        <v>246</v>
      </c>
      <c r="B29" s="111" t="s">
        <v>320</v>
      </c>
      <c r="C29" s="112">
        <f t="shared" si="0"/>
        <v>1</v>
      </c>
      <c r="D29" s="2"/>
      <c r="E29" s="2" t="s">
        <v>286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 t="e">
        <f t="shared" ca="1" si="1"/>
        <v>#N/A</v>
      </c>
      <c r="AJ29" s="2" t="e">
        <f t="shared" ca="1" si="2"/>
        <v>#N/A</v>
      </c>
      <c r="AK29" s="2" t="e">
        <f t="shared" ca="1" si="3"/>
        <v>#N/A</v>
      </c>
      <c r="AL29" s="2" t="e">
        <f t="shared" ca="1" si="4"/>
        <v>#N/A</v>
      </c>
      <c r="AM29" s="2" t="e">
        <f t="shared" ca="1" si="5"/>
        <v>#N/A</v>
      </c>
      <c r="AN29" s="2"/>
      <c r="AO29" s="93" t="str">
        <f t="shared" si="6"/>
        <v/>
      </c>
      <c r="AP29" s="94"/>
      <c r="AQ29" s="103" t="str" cm="1">
        <f t="array" aca="1" ref="AQ29" ca="1">IFERROR(INDEX($AI$2:$AI$30, SMALL(IF($AI$2:$AI$30&lt;&gt;"", ROW($AI$2:$AI$30)-1), ROW(A25))), "")</f>
        <v/>
      </c>
      <c r="AR29" s="104" t="str" cm="1">
        <f t="array" aca="1" ref="AR29" ca="1">IFERROR(INDEX($AJ$2:$AJ$30, SMALL(IF($AJ$2:$AJ$30&lt;&gt;"", ROW($AJ$2:$AJ$30)-1), ROW(A25))), "")</f>
        <v/>
      </c>
      <c r="AS29" s="105" t="str" cm="1">
        <f t="array" aca="1" ref="AS29" ca="1">IFERROR(INDEX($AK$2:$AK$30, SMALL(IF($AK$2:$AK$30&lt;&gt;"", ROW($AK$2:$AK$30)-1), ROW(A25))), "")</f>
        <v/>
      </c>
      <c r="AT29" s="106" t="str" cm="1">
        <f t="array" aca="1" ref="AT29" ca="1">IFERROR(INDEX($AL$2:$AL$30, SMALL(IF($AL$2:$AL$30&lt;&gt;"", ROW($AL$2:$AL$30)-1), ROW(A25))), "")</f>
        <v/>
      </c>
      <c r="AU29" s="107" t="str" cm="1">
        <f t="array" aca="1" ref="AU29" ca="1">IFERROR(INDEX($AM$2:$AM$30, SMALL(IF($AM$2:$AM$30&lt;&gt;"", ROW($AM$2:$AM$30)-1), ROW(A25))), "")</f>
        <v/>
      </c>
      <c r="AV29" s="100" t="str" cm="1">
        <f t="array" ref="AV29">IFERROR(INDEX($AO$2:$AO$30, SMALL(IF($AO$2:$AO$30&lt;&gt;"", ROW($AO$2:$AO$30)-1), ROW(A28))), "")</f>
        <v/>
      </c>
    </row>
    <row r="30" spans="1:48" hidden="1">
      <c r="A30" s="113">
        <v>247</v>
      </c>
      <c r="B30" s="114" t="s">
        <v>324</v>
      </c>
      <c r="C30" s="112">
        <f t="shared" si="0"/>
        <v>3</v>
      </c>
      <c r="D30" s="2" t="s">
        <v>286</v>
      </c>
      <c r="E30" s="2"/>
      <c r="F30" s="2" t="s">
        <v>286</v>
      </c>
      <c r="G30" s="2" t="s">
        <v>286</v>
      </c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 t="e">
        <f t="shared" ca="1" si="1"/>
        <v>#N/A</v>
      </c>
      <c r="AJ30" s="2" t="e">
        <f t="shared" ca="1" si="2"/>
        <v>#N/A</v>
      </c>
      <c r="AK30" s="2" t="e">
        <f t="shared" ca="1" si="3"/>
        <v>#N/A</v>
      </c>
      <c r="AL30" s="2" t="e">
        <f t="shared" ca="1" si="4"/>
        <v>#N/A</v>
      </c>
      <c r="AM30" s="2" t="e">
        <f t="shared" ca="1" si="5"/>
        <v>#N/A</v>
      </c>
      <c r="AN30" s="2"/>
      <c r="AO30" s="93" t="str">
        <f t="shared" si="6"/>
        <v/>
      </c>
      <c r="AV30" s="100" t="str" cm="1">
        <f t="array" ref="AV30">IFERROR(INDEX($AO$2:$AO$30, SMALL(IF($AO$2:$AO$30&lt;&gt;"", ROW($AO$2:$AO$30)-1), ROW(A29))), "")</f>
        <v/>
      </c>
    </row>
    <row r="31" spans="1:48"/>
    <row r="32" spans="1:48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</sheetData>
  <sortState xmlns:xlrd2="http://schemas.microsoft.com/office/spreadsheetml/2017/richdata2" ref="A3:B28">
    <sortCondition ref="A2:A28"/>
  </sortState>
  <mergeCells count="1">
    <mergeCell ref="AI1:AM1"/>
  </mergeCells>
  <conditionalFormatting sqref="A2">
    <cfRule type="containsText" dxfId="414" priority="737" operator="containsText" text="INATIVO">
      <formula>NOT(ISERROR(SEARCH(("INATIVO"),(#REF!))))</formula>
    </cfRule>
  </conditionalFormatting>
  <conditionalFormatting sqref="A3:A6 A24">
    <cfRule type="containsText" dxfId="413" priority="790" operator="containsText" text="INATIVO">
      <formula>NOT(ISERROR(SEARCH(("INATIVO"),(#REF!))))</formula>
    </cfRule>
  </conditionalFormatting>
  <conditionalFormatting sqref="A4:A5 S2:S30 U2:U30 W2:W30 Y2:Y30 AA2:AA30 AC2:AC30 AE2:AE30 AG2:AH30 M3:R4 T3:T4 V3:V4 X3:X4 Z3:Z4 AB3:AB4 AD3:AD4 AF3:AF4 C3:AF30 AH4 M5:Q30 T6:T7 V6:V7 X6:X7 Z6:Z7 AB6:AB7 AD6:AD7 AF6:AF7 AH6:AH7 R11:R12 T11:T14 V11:V14 X11:X14 Z11:Z14 AB11:AB14 AD11:AD14 AF11:AF14 AH11:AH14 R14 T20:T21 V20:V21 X20:X21 Z20:Z21 AB20:AB21 AD20:AD21 AF20:AF21 AH20:AH21 R21 R25 T25 V25 X25 Z25 AB25 AD25 AF25 AH25 T27:T28 V27:V28 X27:X28 Z27:Z28 AB27:AB28 AD27:AD28 AF27:AF28 AH27:AH28">
    <cfRule type="containsText" dxfId="412" priority="784" operator="containsText" text="ATIVO">
      <formula>NOT(ISERROR(SEARCH(("ATIVO"),(#REF!))))</formula>
    </cfRule>
  </conditionalFormatting>
  <conditionalFormatting sqref="A6">
    <cfRule type="containsText" dxfId="411" priority="759" operator="containsText" text="INATIVO">
      <formula>NOT(ISERROR(SEARCH(("INATIVO"),(#REF!))))</formula>
    </cfRule>
    <cfRule type="containsText" dxfId="410" priority="780" operator="containsText" text="ATIVO">
      <formula>NOT(ISERROR(SEARCH(("ATIVO"),(#REF!))))</formula>
    </cfRule>
  </conditionalFormatting>
  <conditionalFormatting sqref="A8 A13:B13 A11 A15">
    <cfRule type="containsText" dxfId="409" priority="675" operator="containsText" text="ATIVO">
      <formula>NOT(ISERROR(SEARCH(("ATIVO"),(#REF!))))</formula>
    </cfRule>
  </conditionalFormatting>
  <conditionalFormatting sqref="A8:A20 A22:B22 A25:A30 B24:B30">
    <cfRule type="containsText" dxfId="408" priority="711" operator="containsText" text="INATIVO">
      <formula>NOT(ISERROR(SEARCH(("INATIVO"),(#REF!))))</formula>
    </cfRule>
  </conditionalFormatting>
  <conditionalFormatting sqref="A9:A10 A12">
    <cfRule type="containsText" dxfId="407" priority="702" operator="containsText" text="ATIVO">
      <formula>NOT(ISERROR(SEARCH(("ATIVO"),(#REF!))))</formula>
    </cfRule>
  </conditionalFormatting>
  <conditionalFormatting sqref="A9:A18 A20">
    <cfRule type="containsText" dxfId="406" priority="694" operator="containsText" text="ROTA">
      <formula>NOT(ISERROR(SEARCH(("ROTA"),(#REF!))))</formula>
    </cfRule>
  </conditionalFormatting>
  <conditionalFormatting sqref="A11 A13:A15">
    <cfRule type="containsText" dxfId="405" priority="692" operator="containsText" text="ATIVO">
      <formula>NOT(ISERROR(SEARCH(("ATIVO"),(#REF!))))</formula>
    </cfRule>
  </conditionalFormatting>
  <conditionalFormatting sqref="A13">
    <cfRule type="containsText" dxfId="404" priority="670" operator="containsText" text="INATIVO">
      <formula>NOT(ISERROR(SEARCH(("INATIVO"),(#REF!))))</formula>
    </cfRule>
  </conditionalFormatting>
  <conditionalFormatting sqref="A16:A20">
    <cfRule type="containsText" dxfId="403" priority="701" operator="containsText" text="ATIVO">
      <formula>NOT(ISERROR(SEARCH(("ATIVO"),(#REF!))))</formula>
    </cfRule>
  </conditionalFormatting>
  <conditionalFormatting sqref="A18:A19">
    <cfRule type="containsText" dxfId="402" priority="614" operator="containsText" text="ATIVO">
      <formula>NOT(ISERROR(SEARCH(("ATIVO"),(#REF!))))</formula>
    </cfRule>
  </conditionalFormatting>
  <conditionalFormatting sqref="A19">
    <cfRule type="containsText" dxfId="401" priority="617" operator="containsText" text="INATIVO">
      <formula>NOT(ISERROR(SEARCH(("INATIVO"),(#REF!))))</formula>
    </cfRule>
  </conditionalFormatting>
  <conditionalFormatting sqref="A22 A24:A30 B3:B6 B2:AF2">
    <cfRule type="containsText" dxfId="400" priority="786" operator="containsText" text="ATIVO">
      <formula>NOT(ISERROR(SEARCH(("ATIVO"),(#REF!))))</formula>
    </cfRule>
  </conditionalFormatting>
  <conditionalFormatting sqref="A3:B3">
    <cfRule type="containsText" dxfId="399" priority="750" operator="containsText" text="INDISPONÍVEL">
      <formula>NOT(ISERROR(SEARCH(("INDISPONÍVEL"),(#REF!))))</formula>
    </cfRule>
    <cfRule type="containsText" dxfId="398" priority="751" operator="containsText" text="ROTA">
      <formula>NOT(ISERROR(SEARCH(("ROTA"),(#REF!))))</formula>
    </cfRule>
    <cfRule type="containsText" dxfId="397" priority="752" operator="containsText" text="INATIVO">
      <formula>NOT(ISERROR(SEARCH(("INATIVO"),(A3))))</formula>
    </cfRule>
    <cfRule type="containsText" dxfId="396" priority="753" operator="containsText" text="INTEGRAÇÃO">
      <formula>NOT(ISERROR(SEARCH(("INTEGRAÇÃO"),(#REF!))))</formula>
    </cfRule>
  </conditionalFormatting>
  <conditionalFormatting sqref="A3:B4 A2:AF2 A24:A30 AG2:AH30 C3:AF30 A22">
    <cfRule type="containsText" dxfId="395" priority="747" operator="containsText" text="INATIVO">
      <formula>NOT(ISERROR(SEARCH(("INATIVO"),(#REF!))))</formula>
    </cfRule>
  </conditionalFormatting>
  <conditionalFormatting sqref="A3:B5 A2:AF2 AG2:AH30 C3:AF30">
    <cfRule type="containsText" dxfId="394" priority="795" operator="containsText" text="ROTA">
      <formula>NOT(ISERROR(SEARCH(("ROTA"),(#REF!))))</formula>
    </cfRule>
  </conditionalFormatting>
  <conditionalFormatting sqref="A3:B5">
    <cfRule type="containsText" dxfId="393" priority="736" operator="containsText" text="INDISPONÍVEL">
      <formula>NOT(ISERROR(SEARCH(("INDISPONÍVEL"),(#REF!))))</formula>
    </cfRule>
    <cfRule type="containsText" dxfId="392" priority="742" operator="containsText" text="5X2">
      <formula>NOT(ISERROR(SEARCH(("5X2"),(#REF!))))</formula>
    </cfRule>
    <cfRule type="containsText" dxfId="391" priority="745" operator="containsText" text="INTEGRAÇÃO">
      <formula>NOT(ISERROR(SEARCH(("INTEGRAÇÃO"),(#REF!))))</formula>
    </cfRule>
    <cfRule type="containsText" dxfId="390" priority="794" operator="containsText" text="INDISPONÍVEL">
      <formula>NOT(ISERROR(SEARCH(("INDISPONÍVEL"),(#REF!))))</formula>
    </cfRule>
    <cfRule type="containsText" dxfId="389" priority="799" operator="containsText" text="5X2">
      <formula>NOT(ISERROR(SEARCH(("5X2"),(#REF!))))</formula>
    </cfRule>
    <cfRule type="containsText" dxfId="388" priority="800" operator="containsText" text="INATIVO">
      <formula>NOT(ISERROR(SEARCH(("INATIVO"),(#REF!))))</formula>
    </cfRule>
    <cfRule type="containsText" dxfId="387" priority="811" operator="containsText" text="ATIVO">
      <formula>NOT(ISERROR(SEARCH(("ATIVO"),(#REF!))))</formula>
    </cfRule>
  </conditionalFormatting>
  <conditionalFormatting sqref="A3:B6">
    <cfRule type="containsText" dxfId="386" priority="771" operator="containsText" text="ATIVO">
      <formula>NOT(ISERROR(SEARCH(("ATIVO"),(#REF!))))</formula>
    </cfRule>
    <cfRule type="containsText" dxfId="385" priority="774" operator="containsText" text="ROTA">
      <formula>NOT(ISERROR(SEARCH(("ROTA"),(#REF!))))</formula>
    </cfRule>
    <cfRule type="containsText" dxfId="384" priority="789" operator="containsText" text="INATIVO">
      <formula>NOT(ISERROR(SEARCH(("INATIVO"),(#REF!))))</formula>
    </cfRule>
    <cfRule type="containsText" dxfId="383" priority="803" operator="containsText" text="INATIVO">
      <formula>NOT(ISERROR(SEARCH(("INATIVO"),(#REF!))))</formula>
    </cfRule>
    <cfRule type="containsText" dxfId="382" priority="804" operator="containsText" text="ATIVO">
      <formula>NOT(ISERROR(SEARCH(("ATIVO"),(#REF!))))</formula>
    </cfRule>
    <cfRule type="containsText" dxfId="381" priority="805" operator="containsText" text="5X2">
      <formula>NOT(ISERROR(SEARCH(("5X2"),(A3))))</formula>
    </cfRule>
    <cfRule type="containsText" dxfId="380" priority="806" operator="containsText" text="INATIVO">
      <formula>NOT(ISERROR(SEARCH(("INATIVO"),(A3))))</formula>
    </cfRule>
    <cfRule type="containsText" dxfId="379" priority="807" operator="containsText" text="ATIVO">
      <formula>NOT(ISERROR(SEARCH(("ATIVO"),(A3))))</formula>
    </cfRule>
    <cfRule type="containsText" dxfId="378" priority="808" operator="containsText" text="INDISPONÍVEL">
      <formula>NOT(ISERROR(SEARCH(("INDISPONÍVEL"),(A3))))</formula>
    </cfRule>
    <cfRule type="containsText" dxfId="377" priority="809" operator="containsText" text="ROTA">
      <formula>NOT(ISERROR(SEARCH(("ROTA"),(A3))))</formula>
    </cfRule>
    <cfRule type="containsText" dxfId="376" priority="810" operator="containsText" text="INTEGRAÇÃO">
      <formula>NOT(ISERROR(SEARCH(("INTEGRAÇÃO"),(A3))))</formula>
    </cfRule>
    <cfRule type="cellIs" dxfId="375" priority="812" operator="equal">
      <formula>"INDISPONIVEL"</formula>
    </cfRule>
  </conditionalFormatting>
  <conditionalFormatting sqref="A4:B5">
    <cfRule type="containsText" dxfId="374" priority="783" operator="containsText" text="INATIVO">
      <formula>NOT(ISERROR(SEARCH(("INATIVO"),(#REF!))))</formula>
    </cfRule>
    <cfRule type="containsText" dxfId="373" priority="792" operator="containsText" text="INTEGRAÇÃO">
      <formula>NOT(ISERROR(SEARCH(("INTEGRAÇÃO"),(#REF!))))</formula>
    </cfRule>
  </conditionalFormatting>
  <conditionalFormatting sqref="A4:B6 A8:B15">
    <cfRule type="containsText" dxfId="372" priority="802" operator="containsText" text="ROTA">
      <formula>NOT(ISERROR(SEARCH(("ROTA"),(#REF!))))</formula>
    </cfRule>
  </conditionalFormatting>
  <conditionalFormatting sqref="A4:B6 A2:AF2 AG2:AH30 C3:AF30">
    <cfRule type="containsText" dxfId="371" priority="801" operator="containsText" text="INDISPONÍVEL">
      <formula>NOT(ISERROR(SEARCH(("INDISPONÍVEL"),(#REF!))))</formula>
    </cfRule>
  </conditionalFormatting>
  <conditionalFormatting sqref="A4:B6">
    <cfRule type="containsText" dxfId="370" priority="813" operator="containsText" text="INATIVO">
      <formula>NOT(ISERROR(SEARCH(("INATIVO"),(A4))))</formula>
    </cfRule>
    <cfRule type="containsText" dxfId="369" priority="814" operator="containsText" text="INTEGRAÇÃO">
      <formula>NOT(ISERROR(SEARCH(("INTEGRAÇÃO"),(#REF!))))</formula>
    </cfRule>
  </conditionalFormatting>
  <conditionalFormatting sqref="A5:B6 A22:B22 A24:B30">
    <cfRule type="containsText" dxfId="368" priority="796" operator="containsText" text="INATIVO">
      <formula>NOT(ISERROR(SEARCH(("INATIVO"),(#REF!))))</formula>
    </cfRule>
  </conditionalFormatting>
  <conditionalFormatting sqref="A6:B6 A22:B22 A24:B30 B2:AF2 AG2:AH30 D3:AF30">
    <cfRule type="containsText" dxfId="367" priority="769" operator="containsText" text="INATIVO">
      <formula>NOT(ISERROR(SEARCH(("INATIVO"),(#REF!))))</formula>
    </cfRule>
  </conditionalFormatting>
  <conditionalFormatting sqref="A6:B6 A22:B22 A24:B30">
    <cfRule type="containsText" dxfId="366" priority="768" operator="containsText" text="ROTA">
      <formula>NOT(ISERROR(SEARCH(("ROTA"),(#REF!))))</formula>
    </cfRule>
  </conditionalFormatting>
  <conditionalFormatting sqref="A6:B6 A2:AF2 AG2:AH30 C3:AF30 A22:B22 A24:B30">
    <cfRule type="containsText" dxfId="365" priority="779" operator="containsText" text="INTEGRAÇÃO">
      <formula>NOT(ISERROR(SEARCH(("INTEGRAÇÃO"),(#REF!))))</formula>
    </cfRule>
  </conditionalFormatting>
  <conditionalFormatting sqref="A6:B6">
    <cfRule type="containsText" dxfId="364" priority="755" operator="containsText" text="INATIVO">
      <formula>NOT(ISERROR(SEARCH(("INATIVO"),(#REF!))))</formula>
    </cfRule>
    <cfRule type="containsText" dxfId="363" priority="757" operator="containsText" text="ATIVO">
      <formula>NOT(ISERROR(SEARCH(("ATIVO"),(#REF!))))</formula>
    </cfRule>
    <cfRule type="containsText" dxfId="362" priority="764" operator="containsText" text="ROTA">
      <formula>NOT(ISERROR(SEARCH(("ROTA"),(#REF!))))</formula>
    </cfRule>
    <cfRule type="containsText" dxfId="361" priority="765" operator="containsText" text="INATIVO">
      <formula>NOT(ISERROR(SEARCH(("INATIVO"),(#REF!))))</formula>
    </cfRule>
    <cfRule type="containsText" dxfId="360" priority="767" operator="containsText" text="5X2">
      <formula>NOT(ISERROR(SEARCH(("5X2"),(#REF!))))</formula>
    </cfRule>
    <cfRule type="containsText" dxfId="359" priority="770" operator="containsText" text="ROTA">
      <formula>NOT(ISERROR(SEARCH(("ROTA"),(#REF!))))</formula>
    </cfRule>
    <cfRule type="containsText" dxfId="358" priority="773" operator="containsText" text="INDISPONÍVEL">
      <formula>NOT(ISERROR(SEARCH(("INDISPONÍVEL"),(#REF!))))</formula>
    </cfRule>
    <cfRule type="containsText" dxfId="357" priority="775" operator="containsText" text="5X2">
      <formula>NOT(ISERROR(SEARCH(("5X2"),(#REF!))))</formula>
    </cfRule>
    <cfRule type="containsText" dxfId="356" priority="776" operator="containsText" text="ATIVO">
      <formula>NOT(ISERROR(SEARCH(("ATIVO"),(#REF!))))</formula>
    </cfRule>
    <cfRule type="containsText" dxfId="355" priority="777" operator="containsText" text="5X2">
      <formula>NOT(ISERROR(SEARCH(("5X2"),(#REF!))))</formula>
    </cfRule>
    <cfRule type="containsText" dxfId="354" priority="781" operator="containsText" text="INDISPONÍVEL">
      <formula>NOT(ISERROR(SEARCH(("INDISPONÍVEL"),(#REF!))))</formula>
    </cfRule>
  </conditionalFormatting>
  <conditionalFormatting sqref="A8:B8 A11:B11 A24:A30 A22">
    <cfRule type="containsText" dxfId="353" priority="703" operator="containsText" text="ATIVO">
      <formula>NOT(ISERROR(SEARCH(("ATIVO"),(#REF!))))</formula>
    </cfRule>
  </conditionalFormatting>
  <conditionalFormatting sqref="A8:B8 A11:B11 A13:B15">
    <cfRule type="containsText" dxfId="352" priority="708" operator="containsText" text="5X2">
      <formula>NOT(ISERROR(SEARCH(("5X2"),(#REF!))))</formula>
    </cfRule>
    <cfRule type="containsText" dxfId="351" priority="719" operator="containsText" text="INDISPONÍVEL">
      <formula>NOT(ISERROR(SEARCH(("INDISPONÍVEL"),(#REF!))))</formula>
    </cfRule>
    <cfRule type="containsText" dxfId="350" priority="720" operator="containsText" text="ROTA">
      <formula>NOT(ISERROR(SEARCH(("ROTA"),(#REF!))))</formula>
    </cfRule>
  </conditionalFormatting>
  <conditionalFormatting sqref="A8:B8 A24:B28 A30:B30">
    <cfRule type="containsText" dxfId="349" priority="687" operator="containsText" text="INDISPONÍVEL">
      <formula>NOT(ISERROR(SEARCH(("INDISPONÍVEL"),(#REF!))))</formula>
    </cfRule>
  </conditionalFormatting>
  <conditionalFormatting sqref="A8:B8 C3:C30">
    <cfRule type="containsText" dxfId="348" priority="704" operator="containsText" text="INDISPONÍVEL">
      <formula>NOT(ISERROR(SEARCH(("INDISPONÍVEL"),(#REF!))))</formula>
    </cfRule>
  </conditionalFormatting>
  <conditionalFormatting sqref="A8:B8">
    <cfRule type="containsText" dxfId="347" priority="674" operator="containsText" text="INATIVO">
      <formula>NOT(ISERROR(SEARCH(("INATIVO"),(#REF!))))</formula>
    </cfRule>
    <cfRule type="containsText" dxfId="346" priority="689" operator="containsText" text="ATIVO">
      <formula>NOT(ISERROR(SEARCH(("ATIVO"),(#REF!))))</formula>
    </cfRule>
  </conditionalFormatting>
  <conditionalFormatting sqref="A8:B10">
    <cfRule type="containsText" dxfId="345" priority="688" operator="containsText" text="ROTA">
      <formula>NOT(ISERROR(SEARCH(("ROTA"),(#REF!))))</formula>
    </cfRule>
  </conditionalFormatting>
  <conditionalFormatting sqref="A8:B18 A20:B20">
    <cfRule type="containsText" dxfId="344" priority="726" operator="containsText" text="ROTA">
      <formula>NOT(ISERROR(SEARCH(("ROTA"),(#REF!))))</formula>
    </cfRule>
  </conditionalFormatting>
  <conditionalFormatting sqref="A8:B18">
    <cfRule type="containsText" dxfId="343" priority="797" operator="containsText" text="INATIVO">
      <formula>NOT(ISERROR(SEARCH(("INATIVO"),(#REF!))))</formula>
    </cfRule>
  </conditionalFormatting>
  <conditionalFormatting sqref="A8:B20">
    <cfRule type="containsText" dxfId="342" priority="710" operator="containsText" text="INATIVO">
      <formula>NOT(ISERROR(SEARCH(("INATIVO"),(#REF!))))</formula>
    </cfRule>
  </conditionalFormatting>
  <conditionalFormatting sqref="A9:B10 A12:B12 A16:B18 A20:B20">
    <cfRule type="containsText" dxfId="341" priority="700" operator="containsText" text="ROTA">
      <formula>NOT(ISERROR(SEARCH(("ROTA"),(#REF!))))</formula>
    </cfRule>
    <cfRule type="containsText" dxfId="340" priority="723" operator="containsText" text="5X2">
      <formula>NOT(ISERROR(SEARCH(("5X2"),(#REF!))))</formula>
    </cfRule>
    <cfRule type="containsText" dxfId="339" priority="725" operator="containsText" text="INATIVO">
      <formula>NOT(ISERROR(SEARCH(("INATIVO"),(#REF!))))</formula>
    </cfRule>
  </conditionalFormatting>
  <conditionalFormatting sqref="A9:B10 A12:B18 A20:B20">
    <cfRule type="containsText" dxfId="338" priority="699" operator="containsText" text="INDISPONÍVEL">
      <formula>NOT(ISERROR(SEARCH(("INDISPONÍVEL"),(#REF!))))</formula>
    </cfRule>
  </conditionalFormatting>
  <conditionalFormatting sqref="A9:B10 A17:B20 C3:C30 D25:AH25 X27:X28 S2:S24 U2:U24 W2:W24 Y2:Y24 AA2:AA24 AC2:AC24 AE2:AE24 AG2:AG24 M3:R4 T3:T4 V3:V4 X3:X4 Z3:Z4 AB3:AB4 AD3:AD4 AF3:AF4 D3:L24 AH4 M5:Q24 T6:T7 V6:V7 X6:X7 Z6:Z7 AB6:AB7 AD6:AD7 AF6:AF7 AH6:AH7 R11:R12 T11:T14 V11:V14 X11:X14 Z11:Z14 AB11:AB14 AD11:AD14 AF11:AF14 AH11:AH14 R14 T20:T21 V20:V21 X20:X21 Z20:Z21 AB20:AB21 AD20:AD21 AF20:AF21 AH20:AH21 R21 D26:Q30 S26:S30 U26:U30 W26:W30 Y26:Y30 AA26:AA30 AC26:AC30 AE26:AE30 AG26:AG30 T27:T28 V27:V28 Z27:Z28 AB27:AB28 AD27:AD28 AF27:AF28 AH27:AH28">
    <cfRule type="containsText" dxfId="337" priority="705" operator="containsText" text="INATIVO">
      <formula>NOT(ISERROR(SEARCH(("INATIVO"),(#REF!))))</formula>
    </cfRule>
  </conditionalFormatting>
  <conditionalFormatting sqref="A9:B12 A16:B20">
    <cfRule type="containsText" dxfId="336" priority="728" operator="containsText" text="INDISPONÍVEL">
      <formula>NOT(ISERROR(SEARCH(("INDISPONÍVEL"),(#REF!))))</formula>
    </cfRule>
  </conditionalFormatting>
  <conditionalFormatting sqref="A12:B12 A16:B16">
    <cfRule type="containsText" dxfId="335" priority="650" operator="containsText" text="INATIVO">
      <formula>NOT(ISERROR(SEARCH(("INATIVO"),(#REF!))))</formula>
    </cfRule>
  </conditionalFormatting>
  <conditionalFormatting sqref="A12:B18">
    <cfRule type="containsText" dxfId="334" priority="696" operator="containsText" text="ROTA">
      <formula>NOT(ISERROR(SEARCH(("ROTA"),(#REF!))))</formula>
    </cfRule>
  </conditionalFormatting>
  <conditionalFormatting sqref="A12:B20 A9:B10">
    <cfRule type="containsText" dxfId="333" priority="697" operator="containsText" text="ATIVO">
      <formula>NOT(ISERROR(SEARCH(("ATIVO"),(#REF!))))</formula>
    </cfRule>
  </conditionalFormatting>
  <conditionalFormatting sqref="A13:B13 A14">
    <cfRule type="containsText" dxfId="332" priority="686" operator="containsText" text="INTEGRAÇÃO">
      <formula>NOT(ISERROR(SEARCH(("INTEGRAÇÃO"),(#REF!))))</formula>
    </cfRule>
  </conditionalFormatting>
  <conditionalFormatting sqref="A13:B13 A15:B15 A8:B8">
    <cfRule type="containsText" dxfId="331" priority="680" operator="containsText" text="5X2">
      <formula>NOT(ISERROR(SEARCH(("5X2"),(#REF!))))</formula>
    </cfRule>
  </conditionalFormatting>
  <conditionalFormatting sqref="A13:B13 B14:B15">
    <cfRule type="containsText" dxfId="330" priority="682" operator="containsText" text="ATIVO">
      <formula>NOT(ISERROR(SEARCH(("ATIVO"),(#REF!))))</formula>
    </cfRule>
  </conditionalFormatting>
  <conditionalFormatting sqref="A13:B13">
    <cfRule type="containsText" dxfId="329" priority="673" operator="containsText" text="ROTA">
      <formula>NOT(ISERROR(SEARCH(("ROTA"),(#REF!))))</formula>
    </cfRule>
    <cfRule type="containsText" dxfId="328" priority="676" operator="containsText" text="ROTA">
      <formula>NOT(ISERROR(SEARCH(("ROTA"),(#REF!))))</formula>
    </cfRule>
    <cfRule type="containsText" dxfId="327" priority="677" operator="containsText" text="INATIVO">
      <formula>NOT(ISERROR(SEARCH(("INATIVO"),(#REF!))))</formula>
    </cfRule>
    <cfRule type="containsText" dxfId="326" priority="678" operator="containsText" text="INATIVO">
      <formula>NOT(ISERROR(SEARCH(("INATIVO"),(#REF!))))</formula>
    </cfRule>
    <cfRule type="containsText" dxfId="325" priority="685" operator="containsText" text="INATIVO">
      <formula>NOT(ISERROR(SEARCH(("INATIVO"),(#REF!))))</formula>
    </cfRule>
  </conditionalFormatting>
  <conditionalFormatting sqref="A14:B14 A11:B11">
    <cfRule type="containsText" dxfId="324" priority="690" operator="containsText" text="5X2">
      <formula>NOT(ISERROR(SEARCH(("5X2"),(#REF!))))</formula>
    </cfRule>
  </conditionalFormatting>
  <conditionalFormatting sqref="A16:B16 A19:B19 A8:B10 A12:B12">
    <cfRule type="containsText" dxfId="323" priority="715" operator="containsText" text="INTEGRAÇÃO">
      <formula>NOT(ISERROR(SEARCH(("INTEGRAÇÃO"),(#REF!))))</formula>
    </cfRule>
  </conditionalFormatting>
  <conditionalFormatting sqref="A16:B16">
    <cfRule type="containsText" dxfId="322" priority="657" operator="containsText" text="INTEGRAÇÃO">
      <formula>NOT(ISERROR(SEARCH(("INTEGRAÇÃO"),(#REF!))))</formula>
    </cfRule>
  </conditionalFormatting>
  <conditionalFormatting sqref="A16:B17">
    <cfRule type="containsText" dxfId="321" priority="665" operator="containsText" text="ROTA">
      <formula>NOT(ISERROR(SEARCH(("ROTA"),(#REF!))))</formula>
    </cfRule>
    <cfRule type="cellIs" dxfId="320" priority="668" operator="equal">
      <formula>"INDISPONIVEL"</formula>
    </cfRule>
    <cfRule type="containsText" dxfId="319" priority="669" operator="containsText" text="INATIVO">
      <formula>NOT(ISERROR(SEARCH(("INATIVO"),(A16))))</formula>
    </cfRule>
  </conditionalFormatting>
  <conditionalFormatting sqref="A17:B17">
    <cfRule type="containsText" dxfId="318" priority="649" operator="containsText" text="INDISPONÍVEL">
      <formula>NOT(ISERROR(SEARCH(("INDISPONÍVEL"),(#REF!))))</formula>
    </cfRule>
  </conditionalFormatting>
  <conditionalFormatting sqref="A17:B20 A9:A10 A11:B15 A16 A8:B8 A22:B22 A25:B30">
    <cfRule type="containsText" dxfId="317" priority="730" operator="containsText" text="INTEGRAÇÃO">
      <formula>NOT(ISERROR(SEARCH(("INTEGRAÇÃO"),(#REF!))))</formula>
    </cfRule>
  </conditionalFormatting>
  <conditionalFormatting sqref="A18:B20">
    <cfRule type="containsText" dxfId="316" priority="706" operator="containsText" text="INDISPONÍVEL">
      <formula>NOT(ISERROR(SEARCH(("INDISPONÍVEL"),(#REF!))))</formula>
    </cfRule>
    <cfRule type="containsText" dxfId="315" priority="729" operator="containsText" text="ROTA">
      <formula>NOT(ISERROR(SEARCH(("ROTA"),(#REF!))))</formula>
    </cfRule>
    <cfRule type="cellIs" dxfId="314" priority="734" operator="equal">
      <formula>"INDISPONIVEL"</formula>
    </cfRule>
    <cfRule type="containsText" dxfId="313" priority="735" operator="containsText" text="INATIVO">
      <formula>NOT(ISERROR(SEARCH(("INATIVO"),(A18))))</formula>
    </cfRule>
  </conditionalFormatting>
  <conditionalFormatting sqref="A19:B19 A22:B22 A24:B30">
    <cfRule type="containsText" dxfId="312" priority="655" operator="containsText" text="INDISPONÍVEL">
      <formula>NOT(ISERROR(SEARCH(("INDISPONÍVEL"),(#REF!))))</formula>
    </cfRule>
  </conditionalFormatting>
  <conditionalFormatting sqref="A19:B19">
    <cfRule type="containsText" dxfId="311" priority="613" operator="containsText" text="INDISPONÍVEL">
      <formula>NOT(ISERROR(SEARCH(("INDISPONÍVEL"),(#REF!))))</formula>
    </cfRule>
    <cfRule type="containsText" dxfId="310" priority="615" operator="containsText" text="5X2">
      <formula>NOT(ISERROR(SEARCH(("5X2"),(#REF!))))</formula>
    </cfRule>
    <cfRule type="containsText" dxfId="309" priority="618" operator="containsText" text="INATIVO">
      <formula>NOT(ISERROR(SEARCH(("INATIVO"),(#REF!))))</formula>
    </cfRule>
    <cfRule type="containsText" dxfId="308" priority="623" operator="containsText" text="INDISPONÍVEL">
      <formula>NOT(ISERROR(SEARCH(("INDISPONÍVEL"),(#REF!))))</formula>
    </cfRule>
    <cfRule type="containsText" dxfId="307" priority="624" operator="containsText" text="ROTA">
      <formula>NOT(ISERROR(SEARCH(("ROTA"),(#REF!))))</formula>
    </cfRule>
    <cfRule type="containsText" dxfId="306" priority="625" operator="containsText" text="INTEGRAÇÃO">
      <formula>NOT(ISERROR(SEARCH(("INTEGRAÇÃO"),(#REF!))))</formula>
    </cfRule>
    <cfRule type="containsText" dxfId="305" priority="626" operator="containsText" text="INATIVO">
      <formula>NOT(ISERROR(SEARCH(("INATIVO"),(#REF!))))</formula>
    </cfRule>
    <cfRule type="containsText" dxfId="304" priority="628" operator="containsText" text="5X2">
      <formula>NOT(ISERROR(SEARCH(("5X2"),(#REF!))))</formula>
    </cfRule>
    <cfRule type="containsText" dxfId="303" priority="629" operator="containsText" text="INATIVO">
      <formula>NOT(ISERROR(SEARCH(("INATIVO"),(#REF!))))</formula>
    </cfRule>
    <cfRule type="containsText" dxfId="302" priority="630" operator="containsText" text="INATIVO">
      <formula>NOT(ISERROR(SEARCH(("INATIVO"),(#REF!))))</formula>
    </cfRule>
    <cfRule type="containsText" dxfId="301" priority="631" operator="containsText" text="ROTA">
      <formula>NOT(ISERROR(SEARCH(("ROTA"),(#REF!))))</formula>
    </cfRule>
    <cfRule type="containsText" dxfId="300" priority="633" operator="containsText" text="ATIVO">
      <formula>NOT(ISERROR(SEARCH(("ATIVO"),(#REF!))))</formula>
    </cfRule>
    <cfRule type="containsText" dxfId="299" priority="634" operator="containsText" text="INDISPONÍVEL">
      <formula>NOT(ISERROR(SEARCH(("INDISPONÍVEL"),(#REF!))))</formula>
    </cfRule>
    <cfRule type="containsText" dxfId="298" priority="635" operator="containsText" text="ROTA">
      <formula>NOT(ISERROR(SEARCH(("ROTA"),(#REF!))))</formula>
    </cfRule>
    <cfRule type="containsText" dxfId="297" priority="636" operator="containsText" text="INATIVO">
      <formula>NOT(ISERROR(SEARCH(("INATIVO"),(#REF!))))</formula>
    </cfRule>
    <cfRule type="containsText" dxfId="296" priority="637" operator="containsText" text="ATIVO">
      <formula>NOT(ISERROR(SEARCH(("ATIVO"),(#REF!))))</formula>
    </cfRule>
    <cfRule type="containsText" dxfId="295" priority="638" operator="containsText" text="5X2">
      <formula>NOT(ISERROR(SEARCH(("5X2"),(A19))))</formula>
    </cfRule>
    <cfRule type="containsText" dxfId="294" priority="639" operator="containsText" text="INATIVO">
      <formula>NOT(ISERROR(SEARCH(("INATIVO"),(A19))))</formula>
    </cfRule>
    <cfRule type="containsText" dxfId="293" priority="640" operator="containsText" text="ATIVO">
      <formula>NOT(ISERROR(SEARCH(("ATIVO"),(A19))))</formula>
    </cfRule>
    <cfRule type="containsText" dxfId="292" priority="641" operator="containsText" text="INDISPONÍVEL">
      <formula>NOT(ISERROR(SEARCH(("INDISPONÍVEL"),(A19))))</formula>
    </cfRule>
    <cfRule type="containsText" dxfId="291" priority="642" operator="containsText" text="ROTA">
      <formula>NOT(ISERROR(SEARCH(("ROTA"),(A19))))</formula>
    </cfRule>
    <cfRule type="containsText" dxfId="290" priority="643" operator="containsText" text="INTEGRAÇÃO">
      <formula>NOT(ISERROR(SEARCH(("INTEGRAÇÃO"),(A19))))</formula>
    </cfRule>
    <cfRule type="containsText" dxfId="289" priority="644" operator="containsText" text="ATIVO">
      <formula>NOT(ISERROR(SEARCH(("ATIVO"),(#REF!))))</formula>
    </cfRule>
    <cfRule type="cellIs" dxfId="288" priority="645" operator="equal">
      <formula>"INDISPONIVEL"</formula>
    </cfRule>
    <cfRule type="containsText" dxfId="287" priority="646" operator="containsText" text="INATIVO">
      <formula>NOT(ISERROR(SEARCH(("INATIVO"),(A19))))</formula>
    </cfRule>
    <cfRule type="containsText" dxfId="286" priority="647" operator="containsText" text="INTEGRAÇÃO">
      <formula>NOT(ISERROR(SEARCH(("INTEGRAÇÃO"),(#REF!))))</formula>
    </cfRule>
    <cfRule type="containsText" dxfId="285" priority="658" operator="containsText" text="INATIVO">
      <formula>NOT(ISERROR(SEARCH(("INATIVO"),(#REF!))))</formula>
    </cfRule>
    <cfRule type="containsText" dxfId="284" priority="660" operator="containsText" text="5X2">
      <formula>NOT(ISERROR(SEARCH(("5X2"),(#REF!))))</formula>
    </cfRule>
    <cfRule type="containsText" dxfId="283" priority="661" operator="containsText" text="INATIVO">
      <formula>NOT(ISERROR(SEARCH(("INATIVO"),(#REF!))))</formula>
    </cfRule>
    <cfRule type="containsText" dxfId="282" priority="662" operator="containsText" text="INATIVO">
      <formula>NOT(ISERROR(SEARCH(("INATIVO"),(#REF!))))</formula>
    </cfRule>
    <cfRule type="containsText" dxfId="281" priority="663" operator="containsText" text="ROTA">
      <formula>NOT(ISERROR(SEARCH(("ROTA"),(#REF!))))</formula>
    </cfRule>
    <cfRule type="containsText" dxfId="280" priority="666" operator="containsText" text="INATIVO">
      <formula>NOT(ISERROR(SEARCH(("INATIVO"),(#REF!))))</formula>
    </cfRule>
    <cfRule type="containsText" dxfId="279" priority="667" operator="containsText" text="ATIVO">
      <formula>NOT(ISERROR(SEARCH(("ATIVO"),(#REF!))))</formula>
    </cfRule>
  </conditionalFormatting>
  <conditionalFormatting sqref="A19:B20 A22:B22 A24:B30">
    <cfRule type="containsText" dxfId="278" priority="656" operator="containsText" text="ROTA">
      <formula>NOT(ISERROR(SEARCH(("ROTA"),(#REF!))))</formula>
    </cfRule>
  </conditionalFormatting>
  <conditionalFormatting sqref="A20:B20">
    <cfRule type="containsText" dxfId="277" priority="712" operator="containsText" text="ATIVO">
      <formula>NOT(ISERROR(SEARCH(("ATIVO"),(#REF!))))</formula>
    </cfRule>
    <cfRule type="containsText" dxfId="276" priority="721" operator="containsText" text="INATIVO">
      <formula>NOT(ISERROR(SEARCH(("INATIVO"),(#REF!))))</formula>
    </cfRule>
    <cfRule type="containsText" dxfId="275" priority="727" operator="containsText" text="INATIVO">
      <formula>NOT(ISERROR(SEARCH(("INATIVO"),(#REF!))))</formula>
    </cfRule>
    <cfRule type="containsText" dxfId="274" priority="731" operator="containsText" text="INATIVO">
      <formula>NOT(ISERROR(SEARCH(("INATIVO"),(#REF!))))</formula>
    </cfRule>
    <cfRule type="containsText" dxfId="273" priority="732" operator="containsText" text="ATIVO">
      <formula>NOT(ISERROR(SEARCH(("ATIVO"),(#REF!))))</formula>
    </cfRule>
  </conditionalFormatting>
  <conditionalFormatting sqref="A22:B22 A24:B24 A29:B30">
    <cfRule type="containsText" dxfId="272" priority="527" operator="containsText" text="INTEGRAÇÃO">
      <formula>NOT(ISERROR(SEARCH(("INTEGRAÇÃO"),(#REF!))))</formula>
    </cfRule>
  </conditionalFormatting>
  <conditionalFormatting sqref="A22:B22 A24:B30 A8:B16">
    <cfRule type="containsText" dxfId="271" priority="785" operator="containsText" text="INDISPONÍVEL">
      <formula>NOT(ISERROR(SEARCH(("INDISPONÍVEL"),(#REF!))))</formula>
    </cfRule>
  </conditionalFormatting>
  <conditionalFormatting sqref="A22:B22 A24:B30 B5">
    <cfRule type="containsText" dxfId="270" priority="749" operator="containsText" text="5X2">
      <formula>NOT(ISERROR(SEARCH(("5X2"),(#REF!))))</formula>
    </cfRule>
  </conditionalFormatting>
  <conditionalFormatting sqref="A22:B22 A24:B30">
    <cfRule type="containsText" dxfId="269" priority="589" operator="containsText" text="ATIVO">
      <formula>NOT(ISERROR(SEARCH(("ATIVO"),(#REF!))))</formula>
    </cfRule>
    <cfRule type="containsText" dxfId="268" priority="597" operator="containsText" text="INATIVO">
      <formula>NOT(ISERROR(SEARCH(("INATIVO"),(#REF!))))</formula>
    </cfRule>
    <cfRule type="containsText" dxfId="267" priority="756" operator="containsText" text="INATIVO">
      <formula>NOT(ISERROR(SEARCH(("INATIVO"),(#REF!))))</formula>
    </cfRule>
    <cfRule type="containsText" dxfId="266" priority="819" operator="containsText" text="INDISPONÍVEL">
      <formula>NOT(ISERROR(SEARCH(("INDISPONÍVEL"),(#REF!))))</formula>
    </cfRule>
  </conditionalFormatting>
  <conditionalFormatting sqref="A22:B22 A25:B30">
    <cfRule type="containsText" dxfId="265" priority="588" operator="containsText" text="INATIVO">
      <formula>NOT(ISERROR(SEARCH(("INATIVO"),(#REF!))))</formula>
    </cfRule>
  </conditionalFormatting>
  <conditionalFormatting sqref="A25:B28 A30:B30">
    <cfRule type="containsText" dxfId="264" priority="600" operator="containsText" text="INTEGRAÇÃO">
      <formula>NOT(ISERROR(SEARCH(("INTEGRAÇÃO"),(#REF!))))</formula>
    </cfRule>
  </conditionalFormatting>
  <conditionalFormatting sqref="A26:B26">
    <cfRule type="containsText" dxfId="263" priority="214" operator="containsText" text="INTEGRAÇÃO">
      <formula>NOT(ISERROR(SEARCH(("INTEGRAÇÃO"),(#REF!))))</formula>
    </cfRule>
  </conditionalFormatting>
  <conditionalFormatting sqref="A2:AF2 AG2:AH30 C3:AF30 A8:B15 A22:B22 A24:B30">
    <cfRule type="cellIs" dxfId="262" priority="834" operator="equal">
      <formula>"INDISPONIVEL"</formula>
    </cfRule>
    <cfRule type="containsText" dxfId="261" priority="835" operator="containsText" text="INATIVO">
      <formula>NOT(ISERROR(SEARCH(("INATIVO"),(A2))))</formula>
    </cfRule>
  </conditionalFormatting>
  <conditionalFormatting sqref="A2:AF2 AG2:AH30 C3:AF30 A8:B18 A22:B22 A24:B30">
    <cfRule type="containsText" dxfId="260" priority="826" operator="containsText" text="ATIVO">
      <formula>NOT(ISERROR(SEARCH(("ATIVO"),(#REF!))))</formula>
    </cfRule>
    <cfRule type="containsText" dxfId="259" priority="833" operator="containsText" text="ATIVO">
      <formula>NOT(ISERROR(SEARCH(("ATIVO"),(#REF!))))</formula>
    </cfRule>
  </conditionalFormatting>
  <conditionalFormatting sqref="A2:AF2 AG2:AH30 C3:AF30 A8:B20 A22:B22 A24:B30">
    <cfRule type="containsText" dxfId="258" priority="827" operator="containsText" text="5X2">
      <formula>NOT(ISERROR(SEARCH(("5X2"),(A2))))</formula>
    </cfRule>
    <cfRule type="containsText" dxfId="257" priority="828" operator="containsText" text="INATIVO">
      <formula>NOT(ISERROR(SEARCH(("INATIVO"),(A2))))</formula>
    </cfRule>
    <cfRule type="containsText" dxfId="256" priority="829" operator="containsText" text="ATIVO">
      <formula>NOT(ISERROR(SEARCH(("ATIVO"),(A2))))</formula>
    </cfRule>
    <cfRule type="containsText" dxfId="255" priority="830" operator="containsText" text="INDISPONÍVEL">
      <formula>NOT(ISERROR(SEARCH(("INDISPONÍVEL"),(A2))))</formula>
    </cfRule>
    <cfRule type="containsText" dxfId="254" priority="831" operator="containsText" text="ROTA">
      <formula>NOT(ISERROR(SEARCH(("ROTA"),(A2))))</formula>
    </cfRule>
    <cfRule type="containsText" dxfId="253" priority="832" operator="containsText" text="INTEGRAÇÃO">
      <formula>NOT(ISERROR(SEARCH(("INTEGRAÇÃO"),(A2))))</formula>
    </cfRule>
    <cfRule type="containsText" dxfId="252" priority="836" operator="containsText" text="INTEGRAÇÃO">
      <formula>NOT(ISERROR(SEARCH(("INTEGRAÇÃO"),(#REF!))))</formula>
    </cfRule>
  </conditionalFormatting>
  <conditionalFormatting sqref="A2:AF2 AG2:AH30 C3:AF30 A22:B22 A24:B30">
    <cfRule type="containsText" dxfId="251" priority="821" operator="containsText" text="5X2">
      <formula>NOT(ISERROR(SEARCH(("5X2"),(#REF!))))</formula>
    </cfRule>
    <cfRule type="containsText" dxfId="250" priority="824" operator="containsText" text="ROTA">
      <formula>NOT(ISERROR(SEARCH(("ROTA"),(#REF!))))</formula>
    </cfRule>
  </conditionalFormatting>
  <conditionalFormatting sqref="A2:AF2 AG2:AH30 C3:AF30">
    <cfRule type="containsText" dxfId="249" priority="740" operator="containsText" text="ROTA">
      <formula>NOT(ISERROR(SEARCH(("ROTA"),(#REF!))))</formula>
    </cfRule>
    <cfRule type="containsText" dxfId="248" priority="772" operator="containsText" text="ATIVO">
      <formula>NOT(ISERROR(SEARCH(("ATIVO"),(#REF!))))</formula>
    </cfRule>
    <cfRule type="containsText" dxfId="247" priority="782" operator="containsText" text="ROTA">
      <formula>NOT(ISERROR(SEARCH(("ROTA"),(#REF!))))</formula>
    </cfRule>
    <cfRule type="containsText" dxfId="246" priority="817" operator="containsText" text="INDISPONÍVEL">
      <formula>NOT(ISERROR(SEARCH(("INDISPONÍVEL"),(#REF!))))</formula>
    </cfRule>
    <cfRule type="containsText" dxfId="245" priority="823" operator="containsText" text="INATIVO">
      <formula>NOT(ISERROR(SEARCH(("INATIVO"),(#REF!))))</formula>
    </cfRule>
  </conditionalFormatting>
  <conditionalFormatting sqref="A2:AF2 AG2:AH30 D3:AF30 A22:B22 A24:B30 A8:B18">
    <cfRule type="containsText" dxfId="244" priority="825" operator="containsText" text="INATIVO">
      <formula>NOT(ISERROR(SEARCH(("INATIVO"),(#REF!))))</formula>
    </cfRule>
  </conditionalFormatting>
  <conditionalFormatting sqref="A2:AF2 AG2:AH30 D3:AF30">
    <cfRule type="containsText" dxfId="243" priority="816" operator="containsText" text="ATIVO">
      <formula>NOT(ISERROR(SEARCH(("ATIVO"),(#REF!))))</formula>
    </cfRule>
  </conditionalFormatting>
  <conditionalFormatting sqref="A1:AH30">
    <cfRule type="colorScale" priority="853">
      <colorScale>
        <cfvo type="min"/>
        <cfvo type="max"/>
        <color rgb="FFFFEF9C"/>
        <color rgb="FF63BE7B"/>
      </colorScale>
    </cfRule>
  </conditionalFormatting>
  <conditionalFormatting sqref="A2:AH30"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AI1 A2:AH30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">
    <cfRule type="containsText" dxfId="242" priority="746" operator="containsText" text="INATIVO">
      <formula>NOT(ISERROR(SEARCH(("INATIVO"),(#REF!))))</formula>
    </cfRule>
  </conditionalFormatting>
  <conditionalFormatting sqref="B3:B5">
    <cfRule type="containsText" dxfId="241" priority="788" operator="containsText" text="ATIVO">
      <formula>NOT(ISERROR(SEARCH(("ATIVO"),(#REF!))))</formula>
    </cfRule>
    <cfRule type="containsText" dxfId="240" priority="793" operator="containsText" text="INATIVO">
      <formula>NOT(ISERROR(SEARCH(("INATIVO"),(#REF!))))</formula>
    </cfRule>
    <cfRule type="containsText" dxfId="239" priority="798" operator="containsText" text="ROTA">
      <formula>NOT(ISERROR(SEARCH(("ROTA"),(#REF!))))</formula>
    </cfRule>
  </conditionalFormatting>
  <conditionalFormatting sqref="B4:B5 A24:B24 B2:AF2">
    <cfRule type="containsText" dxfId="238" priority="744" operator="containsText" text="ATIVO">
      <formula>NOT(ISERROR(SEARCH(("ATIVO"),(#REF!))))</formula>
    </cfRule>
  </conditionalFormatting>
  <conditionalFormatting sqref="B4:B5 A24:B24">
    <cfRule type="containsText" dxfId="237" priority="743" operator="containsText" text="INATIVO">
      <formula>NOT(ISERROR(SEARCH(("INATIVO"),(#REF!))))</formula>
    </cfRule>
  </conditionalFormatting>
  <conditionalFormatting sqref="B4:B6 A2:AF2 AG2:AH30 C3:AF30">
    <cfRule type="containsText" dxfId="236" priority="791" operator="containsText" text="INATIVO">
      <formula>NOT(ISERROR(SEARCH(("INATIVO"),(#REF!))))</formula>
    </cfRule>
  </conditionalFormatting>
  <conditionalFormatting sqref="B5 B22 B24:B30">
    <cfRule type="containsText" dxfId="235" priority="754" operator="containsText" text="ATIVO">
      <formula>NOT(ISERROR(SEARCH(("ATIVO"),(#REF!))))</formula>
    </cfRule>
  </conditionalFormatting>
  <conditionalFormatting sqref="B6 B22 B24:B30">
    <cfRule type="containsText" dxfId="234" priority="762" operator="containsText" text="ATIVO">
      <formula>NOT(ISERROR(SEARCH(("ATIVO"),(#REF!))))</formula>
    </cfRule>
  </conditionalFormatting>
  <conditionalFormatting sqref="B6">
    <cfRule type="containsText" dxfId="233" priority="760" operator="containsText" text="ROTA">
      <formula>NOT(ISERROR(SEARCH(("ROTA"),(#REF!))))</formula>
    </cfRule>
    <cfRule type="containsText" dxfId="232" priority="761" operator="containsText" text="INATIVO">
      <formula>NOT(ISERROR(SEARCH(("INATIVO"),(#REF!))))</formula>
    </cfRule>
    <cfRule type="containsText" dxfId="231" priority="763" operator="containsText" text="INATIVO">
      <formula>NOT(ISERROR(SEARCH(("INATIVO"),(#REF!))))</formula>
    </cfRule>
    <cfRule type="containsText" dxfId="230" priority="766" operator="containsText" text="ROTA">
      <formula>NOT(ISERROR(SEARCH(("ROTA"),(#REF!))))</formula>
    </cfRule>
    <cfRule type="containsText" dxfId="229" priority="778" operator="containsText" text="ATIVO">
      <formula>NOT(ISERROR(SEARCH(("ATIVO"),(#REF!))))</formula>
    </cfRule>
  </conditionalFormatting>
  <conditionalFormatting sqref="B8 B12 B16 B22 B24:B30">
    <cfRule type="containsText" dxfId="228" priority="717" operator="containsText" text="ATIVO">
      <formula>NOT(ISERROR(SEARCH(("ATIVO"),(#REF!))))</formula>
    </cfRule>
  </conditionalFormatting>
  <conditionalFormatting sqref="B8 B12 B16">
    <cfRule type="containsText" dxfId="227" priority="716" operator="containsText" text="INATIVO">
      <formula>NOT(ISERROR(SEARCH(("INATIVO"),(#REF!))))</formula>
    </cfRule>
  </conditionalFormatting>
  <conditionalFormatting sqref="B8:B20">
    <cfRule type="containsText" dxfId="226" priority="707" operator="containsText" text="ATIVO">
      <formula>NOT(ISERROR(SEARCH(("ATIVO"),(#REF!))))</formula>
    </cfRule>
  </conditionalFormatting>
  <conditionalFormatting sqref="B9:B18">
    <cfRule type="containsText" dxfId="225" priority="672" operator="containsText" text="INATIVO">
      <formula>NOT(ISERROR(SEARCH(("INATIVO"),(#REF!))))</formula>
    </cfRule>
  </conditionalFormatting>
  <conditionalFormatting sqref="B11 B8 C3:C30">
    <cfRule type="containsText" dxfId="224" priority="698" operator="containsText" text="ROTA">
      <formula>NOT(ISERROR(SEARCH(("ROTA"),(#REF!))))</formula>
    </cfRule>
  </conditionalFormatting>
  <conditionalFormatting sqref="B12:B13 B16:B18 B9:B10">
    <cfRule type="containsText" dxfId="223" priority="651" operator="containsText" text="ROTA">
      <formula>NOT(ISERROR(SEARCH(("ROTA"),(#REF!))))</formula>
    </cfRule>
  </conditionalFormatting>
  <conditionalFormatting sqref="B13">
    <cfRule type="containsText" dxfId="222" priority="671" operator="containsText" text="5X2">
      <formula>NOT(ISERROR(SEARCH(("5X2"),(#REF!))))</formula>
    </cfRule>
    <cfRule type="containsText" dxfId="221" priority="683" operator="containsText" text="INATIVO">
      <formula>NOT(ISERROR(SEARCH(("INATIVO"),(#REF!))))</formula>
    </cfRule>
    <cfRule type="containsText" dxfId="220" priority="684" operator="containsText" text="ATIVO">
      <formula>NOT(ISERROR(SEARCH(("ATIVO"),(#REF!))))</formula>
    </cfRule>
  </conditionalFormatting>
  <conditionalFormatting sqref="B13:B15 A16:B20 A9:B10 A12:B12 B8 B11">
    <cfRule type="containsText" dxfId="219" priority="714" operator="containsText" text="5X2">
      <formula>NOT(ISERROR(SEARCH(("5X2"),(#REF!))))</formula>
    </cfRule>
  </conditionalFormatting>
  <conditionalFormatting sqref="B13:B15 B11">
    <cfRule type="containsText" dxfId="218" priority="679" operator="containsText" text="ROTA">
      <formula>NOT(ISERROR(SEARCH(("ROTA"),(#REF!))))</formula>
    </cfRule>
  </conditionalFormatting>
  <conditionalFormatting sqref="B13:B15">
    <cfRule type="containsText" dxfId="217" priority="695" operator="containsText" text="ROTA">
      <formula>NOT(ISERROR(SEARCH(("ROTA"),(#REF!))))</formula>
    </cfRule>
  </conditionalFormatting>
  <conditionalFormatting sqref="B14:B20">
    <cfRule type="containsText" dxfId="216" priority="713" operator="containsText" text="INATIVO">
      <formula>NOT(ISERROR(SEARCH(("INATIVO"),(#REF!))))</formula>
    </cfRule>
  </conditionalFormatting>
  <conditionalFormatting sqref="B19 A24:B30 A22:B22">
    <cfRule type="containsText" dxfId="215" priority="616" operator="containsText" text="ATIVO">
      <formula>NOT(ISERROR(SEARCH(("ATIVO"),(#REF!))))</formula>
    </cfRule>
  </conditionalFormatting>
  <conditionalFormatting sqref="B19">
    <cfRule type="containsText" dxfId="214" priority="619" operator="containsText" text="ATIVO">
      <formula>NOT(ISERROR(SEARCH(("ATIVO"),(#REF!))))</formula>
    </cfRule>
    <cfRule type="containsText" dxfId="213" priority="620" operator="containsText" text="INATIVO">
      <formula>NOT(ISERROR(SEARCH(("INATIVO"),(#REF!))))</formula>
    </cfRule>
    <cfRule type="containsText" dxfId="212" priority="621" operator="containsText" text="ATIVO">
      <formula>NOT(ISERROR(SEARCH(("ATIVO"),(#REF!))))</formula>
    </cfRule>
    <cfRule type="containsText" dxfId="211" priority="622" operator="containsText" text="INATIVO">
      <formula>NOT(ISERROR(SEARCH(("INATIVO"),(#REF!))))</formula>
    </cfRule>
    <cfRule type="containsText" dxfId="210" priority="632" operator="containsText" text="5X2">
      <formula>NOT(ISERROR(SEARCH(("5X2"),(#REF!))))</formula>
    </cfRule>
    <cfRule type="containsText" dxfId="209" priority="648" operator="containsText" text="ATIVO">
      <formula>NOT(ISERROR(SEARCH(("ATIVO"),(#REF!))))</formula>
    </cfRule>
    <cfRule type="containsText" dxfId="208" priority="652" operator="containsText" text="INATIVO">
      <formula>NOT(ISERROR(SEARCH(("INATIVO"),(#REF!))))</formula>
    </cfRule>
    <cfRule type="containsText" dxfId="207" priority="653" operator="containsText" text="ATIVO">
      <formula>NOT(ISERROR(SEARCH(("ATIVO"),(#REF!))))</formula>
    </cfRule>
    <cfRule type="containsText" dxfId="206" priority="659" operator="containsText" text="ROTA">
      <formula>NOT(ISERROR(SEARCH(("ROTA"),(#REF!))))</formula>
    </cfRule>
    <cfRule type="containsText" dxfId="205" priority="664" operator="containsText" text="5X2">
      <formula>NOT(ISERROR(SEARCH(("5X2"),(#REF!))))</formula>
    </cfRule>
  </conditionalFormatting>
  <conditionalFormatting sqref="B19:B20">
    <cfRule type="containsText" dxfId="204" priority="627" operator="containsText" text="ROTA">
      <formula>NOT(ISERROR(SEARCH(("ROTA"),(#REF!))))</formula>
    </cfRule>
    <cfRule type="containsText" dxfId="203" priority="654" operator="containsText" text="INATIVO">
      <formula>NOT(ISERROR(SEARCH(("INATIVO"),(#REF!))))</formula>
    </cfRule>
  </conditionalFormatting>
  <conditionalFormatting sqref="B20 B12 B16:B18 B9:B10">
    <cfRule type="containsText" dxfId="202" priority="722" operator="containsText" text="ROTA">
      <formula>NOT(ISERROR(SEARCH(("ROTA"),(#REF!))))</formula>
    </cfRule>
  </conditionalFormatting>
  <conditionalFormatting sqref="B20">
    <cfRule type="containsText" dxfId="201" priority="718" operator="containsText" text="INATIVO">
      <formula>NOT(ISERROR(SEARCH(("INATIVO"),(#REF!))))</formula>
    </cfRule>
  </conditionalFormatting>
  <conditionalFormatting sqref="B22 B24:B30 B2:AF2 AG2:AH30 C3:AF30">
    <cfRule type="containsText" dxfId="200" priority="820" operator="containsText" text="ROTA">
      <formula>NOT(ISERROR(SEARCH(("ROTA"),(#REF!))))</formula>
    </cfRule>
  </conditionalFormatting>
  <conditionalFormatting sqref="B2:AF2 B3:B4 A22:B22 A24:B30 AG2:AH30 C3:AF30">
    <cfRule type="containsText" dxfId="199" priority="787" operator="containsText" text="5X2">
      <formula>NOT(ISERROR(SEARCH(("5X2"),(#REF!))))</formula>
    </cfRule>
  </conditionalFormatting>
  <conditionalFormatting sqref="B2:AF2 AG2:AH30 C3:AF30">
    <cfRule type="containsText" dxfId="198" priority="738" operator="containsText" text="ROTA">
      <formula>NOT(ISERROR(SEARCH(("ROTA"),(#REF!))))</formula>
    </cfRule>
    <cfRule type="containsText" dxfId="197" priority="739" operator="containsText" text="5X2">
      <formula>NOT(ISERROR(SEARCH(("5X2"),(#REF!))))</formula>
    </cfRule>
  </conditionalFormatting>
  <conditionalFormatting sqref="B2:AF2 AG2:AH30 D3:AF30 A8:B18 A22:B22 A24:B30">
    <cfRule type="containsText" dxfId="196" priority="818" operator="containsText" text="INATIVO">
      <formula>NOT(ISERROR(SEARCH(("INATIVO"),(#REF!))))</formula>
    </cfRule>
  </conditionalFormatting>
  <conditionalFormatting sqref="D2:AH30 C3:C30 A3:A5">
    <cfRule type="containsText" dxfId="195" priority="741" operator="containsText" text="ATIVO">
      <formula>NOT(ISERROR(SEARCH(("ATIVO"),(#REF!))))</formula>
    </cfRule>
  </conditionalFormatting>
  <conditionalFormatting sqref="D2:AH30 C30">
    <cfRule type="containsText" dxfId="194" priority="218" operator="containsText" text="FÉRIAS">
      <formula>NOT(ISERROR(SEARCH("FÉRIAS",C2)))</formula>
    </cfRule>
    <cfRule type="containsText" dxfId="193" priority="219" operator="containsText" text="FERIAS">
      <formula>NOT(ISERROR(SEARCH("FERIAS",C2)))</formula>
    </cfRule>
    <cfRule type="containsText" dxfId="192" priority="220" operator="containsText" text="ATESTADO">
      <formula>NOT(ISERROR(SEARCH("ATESTADO",C2)))</formula>
    </cfRule>
    <cfRule type="colorScale" priority="862">
      <colorScale>
        <cfvo type="min"/>
        <cfvo type="max"/>
        <color rgb="FFFFEF9C"/>
        <color rgb="FF63BE7B"/>
      </colorScale>
    </cfRule>
  </conditionalFormatting>
  <conditionalFormatting sqref="D2:AH30">
    <cfRule type="containsText" dxfId="191" priority="213" operator="containsText" text="INTEGR">
      <formula>NOT(ISERROR(SEARCH("INTEGR",D2)))</formula>
    </cfRule>
    <cfRule type="containsText" dxfId="190" priority="215" operator="containsText" text="MDT">
      <formula>NOT(ISERROR(SEARCH("MDT",D2)))</formula>
    </cfRule>
    <cfRule type="containsText" dxfId="189" priority="216" operator="containsText" text="FALTA">
      <formula>NOT(ISERROR(SEARCH("FALTA",D2)))</formula>
    </cfRule>
    <cfRule type="containsText" dxfId="188" priority="217" operator="containsText" text="MANOBRA">
      <formula>NOT(ISERROR(SEARCH("MANOBRA",D2)))</formula>
    </cfRule>
    <cfRule type="containsText" dxfId="187" priority="222" operator="containsText" text="SIM">
      <formula>NOT(ISERROR(SEARCH("SIM",D2)))</formula>
    </cfRule>
  </conditionalFormatting>
  <conditionalFormatting sqref="J2:T2">
    <cfRule type="containsText" dxfId="186" priority="137" operator="containsText" text="SIM">
      <formula>NOT(ISERROR(SEARCH("SIM",J2)))</formula>
    </cfRule>
    <cfRule type="containsText" dxfId="185" priority="138" operator="containsText" text="INATIVO">
      <formula>NOT(ISERROR(SEARCH(("INATIVO"),(#REF!))))</formula>
    </cfRule>
    <cfRule type="containsText" dxfId="184" priority="140" operator="containsText" text="ATIVO">
      <formula>NOT(ISERROR(SEARCH(("ATIVO"),(#REF!))))</formula>
    </cfRule>
    <cfRule type="containsText" dxfId="183" priority="141" operator="containsText" text="INATIVO">
      <formula>NOT(ISERROR(SEARCH(("INATIVO"),(#REF!))))</formula>
    </cfRule>
    <cfRule type="containsText" dxfId="182" priority="142" operator="containsText" text="ATIVO">
      <formula>NOT(ISERROR(SEARCH(("ATIVO"),(#REF!))))</formula>
    </cfRule>
  </conditionalFormatting>
  <conditionalFormatting sqref="J23:AH23">
    <cfRule type="containsText" dxfId="181" priority="46" operator="containsText" text="SIM">
      <formula>NOT(ISERROR(SEARCH("SIM",J23)))</formula>
    </cfRule>
  </conditionalFormatting>
  <conditionalFormatting sqref="J25:AH25">
    <cfRule type="containsText" dxfId="180" priority="209" operator="containsText" text="SIM">
      <formula>NOT(ISERROR(SEARCH("SIM",J25)))</formula>
    </cfRule>
  </conditionalFormatting>
  <conditionalFormatting sqref="N6:T6">
    <cfRule type="containsText" dxfId="179" priority="145" operator="containsText" text="SIM">
      <formula>NOT(ISERROR(SEARCH("SIM",N6)))</formula>
    </cfRule>
  </conditionalFormatting>
  <conditionalFormatting sqref="R6">
    <cfRule type="containsText" dxfId="178" priority="207" operator="containsText" text="INATIVO">
      <formula>NOT(ISERROR(SEARCH(("INATIVO"),(#REF!))))</formula>
    </cfRule>
    <cfRule type="containsText" dxfId="177" priority="208" operator="containsText" text="ATIVO">
      <formula>NOT(ISERROR(SEARCH(("ATIVO"),(#REF!))))</formula>
    </cfRule>
  </conditionalFormatting>
  <conditionalFormatting sqref="R23">
    <cfRule type="containsText" dxfId="176" priority="113" operator="containsText" text="ROTA">
      <formula>NOT(ISERROR(SEARCH(("ROTA"),(#REF!))))</formula>
    </cfRule>
    <cfRule type="containsText" dxfId="175" priority="114" operator="containsText" text="ATIVO">
      <formula>NOT(ISERROR(SEARCH(("ATIVO"),(#REF!))))</formula>
    </cfRule>
    <cfRule type="containsText" dxfId="174" priority="115" operator="containsText" text="5X2">
      <formula>NOT(ISERROR(SEARCH(("5X2"),(#REF!))))</formula>
    </cfRule>
    <cfRule type="containsText" dxfId="173" priority="116" operator="containsText" text="INATIVO">
      <formula>NOT(ISERROR(SEARCH(("INATIVO"),(#REF!))))</formula>
    </cfRule>
    <cfRule type="containsText" dxfId="172" priority="117" operator="containsText" text="ROTA">
      <formula>NOT(ISERROR(SEARCH(("ROTA"),(#REF!))))</formula>
    </cfRule>
    <cfRule type="containsText" dxfId="171" priority="118" operator="containsText" text="INDISPONÍVEL">
      <formula>NOT(ISERROR(SEARCH(("INDISPONÍVEL"),(#REF!))))</formula>
    </cfRule>
    <cfRule type="containsText" dxfId="170" priority="120" operator="containsText" text="ROTA">
      <formula>NOT(ISERROR(SEARCH(("ROTA"),(#REF!))))</formula>
    </cfRule>
    <cfRule type="containsText" dxfId="169" priority="121" operator="containsText" text="5X2">
      <formula>NOT(ISERROR(SEARCH(("5X2"),(#REF!))))</formula>
    </cfRule>
    <cfRule type="containsText" dxfId="168" priority="122" operator="containsText" text="INATIVO">
      <formula>NOT(ISERROR(SEARCH(("INATIVO"),(#REF!))))</formula>
    </cfRule>
    <cfRule type="containsText" dxfId="167" priority="123" operator="containsText" text="ROTA">
      <formula>NOT(ISERROR(SEARCH(("ROTA"),(#REF!))))</formula>
    </cfRule>
    <cfRule type="containsText" dxfId="166" priority="124" operator="containsText" text="ATIVO">
      <formula>NOT(ISERROR(SEARCH(("ATIVO"),(#REF!))))</formula>
    </cfRule>
    <cfRule type="containsText" dxfId="165" priority="125" operator="containsText" text="5X2">
      <formula>NOT(ISERROR(SEARCH(("5X2"),(R23))))</formula>
    </cfRule>
    <cfRule type="containsText" dxfId="164" priority="126" operator="containsText" text="INATIVO">
      <formula>NOT(ISERROR(SEARCH(("INATIVO"),(R23))))</formula>
    </cfRule>
    <cfRule type="containsText" dxfId="163" priority="127" operator="containsText" text="ATIVO">
      <formula>NOT(ISERROR(SEARCH(("ATIVO"),(R23))))</formula>
    </cfRule>
    <cfRule type="containsText" dxfId="162" priority="128" operator="containsText" text="INDISPONÍVEL">
      <formula>NOT(ISERROR(SEARCH(("INDISPONÍVEL"),(R23))))</formula>
    </cfRule>
    <cfRule type="containsText" dxfId="161" priority="129" operator="containsText" text="ROTA">
      <formula>NOT(ISERROR(SEARCH(("ROTA"),(R23))))</formula>
    </cfRule>
    <cfRule type="containsText" dxfId="160" priority="130" operator="containsText" text="INTEGRAÇÃO">
      <formula>NOT(ISERROR(SEARCH(("INTEGRAÇÃO"),(R23))))</formula>
    </cfRule>
    <cfRule type="containsText" dxfId="159" priority="131" operator="containsText" text="ATIVO">
      <formula>NOT(ISERROR(SEARCH(("ATIVO"),(#REF!))))</formula>
    </cfRule>
    <cfRule type="cellIs" dxfId="158" priority="132" operator="equal">
      <formula>"INDISPONIVEL"</formula>
    </cfRule>
    <cfRule type="containsText" dxfId="157" priority="133" operator="containsText" text="INATIVO">
      <formula>NOT(ISERROR(SEARCH(("INATIVO"),(R23))))</formula>
    </cfRule>
    <cfRule type="containsText" dxfId="156" priority="134" operator="containsText" text="INTEGRAÇÃO">
      <formula>NOT(ISERROR(SEARCH(("INTEGRAÇÃO"),(#REF!))))</formula>
    </cfRule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6">
      <colorScale>
        <cfvo type="min"/>
        <cfvo type="max"/>
        <color rgb="FFFFEF9C"/>
        <color rgb="FF63BE7B"/>
      </colorScale>
    </cfRule>
  </conditionalFormatting>
  <conditionalFormatting sqref="R6:S6">
    <cfRule type="containsText" dxfId="155" priority="200" operator="containsText" text="ATIVO">
      <formula>NOT(ISERROR(SEARCH(("ATIVO"),(#REF!))))</formula>
    </cfRule>
  </conditionalFormatting>
  <conditionalFormatting sqref="R23:S23">
    <cfRule type="containsText" dxfId="154" priority="87" operator="containsText" text="INATIVO">
      <formula>NOT(ISERROR(SEARCH(("INATIVO"),(#REF!))))</formula>
    </cfRule>
    <cfRule type="containsText" dxfId="153" priority="104" operator="containsText" text="ATIVO">
      <formula>NOT(ISERROR(SEARCH(("ATIVO"),(#REF!))))</formula>
    </cfRule>
    <cfRule type="containsText" dxfId="152" priority="107" operator="containsText" text="INTEGRAÇÃO">
      <formula>NOT(ISERROR(SEARCH(("INTEGRAÇÃO"),(#REF!))))</formula>
    </cfRule>
  </conditionalFormatting>
  <conditionalFormatting sqref="R6:T6">
    <cfRule type="containsText" dxfId="151" priority="146" operator="containsText" text="INATIVO">
      <formula>NOT(ISERROR(SEARCH(("INATIVO"),(#REF!))))</formula>
    </cfRule>
  </conditionalFormatting>
  <conditionalFormatting sqref="R23:AH23">
    <cfRule type="containsText" dxfId="150" priority="47" operator="containsText" text="INATIVO">
      <formula>NOT(ISERROR(SEARCH(("INATIVO"),(#REF!))))</formula>
    </cfRule>
    <cfRule type="containsText" dxfId="149" priority="48" operator="containsText" text="ROTA">
      <formula>NOT(ISERROR(SEARCH(("ROTA"),(#REF!))))</formula>
    </cfRule>
    <cfRule type="containsText" dxfId="148" priority="49" operator="containsText" text="5X2">
      <formula>NOT(ISERROR(SEARCH(("5X2"),(#REF!))))</formula>
    </cfRule>
    <cfRule type="containsText" dxfId="147" priority="50" operator="containsText" text="ROTA">
      <formula>NOT(ISERROR(SEARCH(("ROTA"),(#REF!))))</formula>
    </cfRule>
    <cfRule type="containsText" dxfId="146" priority="51" operator="containsText" text="ATIVO">
      <formula>NOT(ISERROR(SEARCH(("ATIVO"),(#REF!))))</formula>
    </cfRule>
    <cfRule type="containsText" dxfId="145" priority="75" operator="containsText" text="ATIVO">
      <formula>NOT(ISERROR(SEARCH(("ATIVO"),(#REF!))))</formula>
    </cfRule>
  </conditionalFormatting>
  <conditionalFormatting sqref="S2:S30 U2:U30 W2:W30 Y2:Y30 AA2:AA30 AC2:AC30 AE2:AE30 M3:R4 T3:T4 V3:V4 X3:X4 Z3:Z4 AB3:AB4 AD3:AD4 AF3:AF4 AH4 M5:Q30 T6:T7 V6:V7 X6:X7 Z6:Z7 AB6:AB7 AD6:AD7 AF6:AF7 AH6:AH7 R11:R12 T11:T14 V11:V14 X11:X14 Z11:Z14 AB11:AB14 AD11:AD14 AF11:AF14 AH11:AH14 R14 T20:T21 V20:V21 X20:X21 Z20:Z21 AB20:AB21 AD20:AD21 AF20:AF21 AH20:AH21 R21 R25 T25 V25 X25 Z25 AB25 AD25 AF25 AH25 T27:T28 V27:V28 X27:X28 Z27:Z28 AB27:AB28 AD27:AD28 AF27:AF28 AH27:AH28">
    <cfRule type="containsText" dxfId="144" priority="748" operator="containsText" text="INATIVO">
      <formula>NOT(ISERROR(SEARCH(("INATIVO"),(#REF!))))</formula>
    </cfRule>
  </conditionalFormatting>
  <conditionalFormatting sqref="S6">
    <cfRule type="containsText" dxfId="143" priority="182" operator="containsText" text="ROTA">
      <formula>NOT(ISERROR(SEARCH(("ROTA"),(#REF!))))</formula>
    </cfRule>
    <cfRule type="containsText" dxfId="142" priority="183" operator="containsText" text="ATIVO">
      <formula>NOT(ISERROR(SEARCH(("ATIVO"),(#REF!))))</formula>
    </cfRule>
    <cfRule type="containsText" dxfId="141" priority="184" operator="containsText" text="5X2">
      <formula>NOT(ISERROR(SEARCH(("5X2"),(#REF!))))</formula>
    </cfRule>
    <cfRule type="containsText" dxfId="140" priority="185" operator="containsText" text="INATIVO">
      <formula>NOT(ISERROR(SEARCH(("INATIVO"),(#REF!))))</formula>
    </cfRule>
    <cfRule type="containsText" dxfId="139" priority="186" operator="containsText" text="ROTA">
      <formula>NOT(ISERROR(SEARCH(("ROTA"),(#REF!))))</formula>
    </cfRule>
    <cfRule type="containsText" dxfId="138" priority="187" operator="containsText" text="INDISPONÍVEL">
      <formula>NOT(ISERROR(SEARCH(("INDISPONÍVEL"),(#REF!))))</formula>
    </cfRule>
    <cfRule type="containsText" dxfId="137" priority="189" operator="containsText" text="ROTA">
      <formula>NOT(ISERROR(SEARCH(("ROTA"),(#REF!))))</formula>
    </cfRule>
    <cfRule type="containsText" dxfId="136" priority="190" operator="containsText" text="5X2">
      <formula>NOT(ISERROR(SEARCH(("5X2"),(#REF!))))</formula>
    </cfRule>
    <cfRule type="containsText" dxfId="135" priority="191" operator="containsText" text="INATIVO">
      <formula>NOT(ISERROR(SEARCH(("INATIVO"),(#REF!))))</formula>
    </cfRule>
    <cfRule type="containsText" dxfId="134" priority="192" operator="containsText" text="ROTA">
      <formula>NOT(ISERROR(SEARCH(("ROTA"),(#REF!))))</formula>
    </cfRule>
    <cfRule type="containsText" dxfId="133" priority="193" operator="containsText" text="ATIVO">
      <formula>NOT(ISERROR(SEARCH(("ATIVO"),(#REF!))))</formula>
    </cfRule>
    <cfRule type="containsText" dxfId="132" priority="194" operator="containsText" text="5X2">
      <formula>NOT(ISERROR(SEARCH(("5X2"),(S6))))</formula>
    </cfRule>
    <cfRule type="containsText" dxfId="131" priority="195" operator="containsText" text="INATIVO">
      <formula>NOT(ISERROR(SEARCH(("INATIVO"),(S6))))</formula>
    </cfRule>
    <cfRule type="containsText" dxfId="130" priority="196" operator="containsText" text="ATIVO">
      <formula>NOT(ISERROR(SEARCH(("ATIVO"),(S6))))</formula>
    </cfRule>
    <cfRule type="containsText" dxfId="129" priority="197" operator="containsText" text="INDISPONÍVEL">
      <formula>NOT(ISERROR(SEARCH(("INDISPONÍVEL"),(S6))))</formula>
    </cfRule>
    <cfRule type="containsText" dxfId="128" priority="198" operator="containsText" text="ROTA">
      <formula>NOT(ISERROR(SEARCH(("ROTA"),(S6))))</formula>
    </cfRule>
    <cfRule type="containsText" dxfId="127" priority="199" operator="containsText" text="INTEGRAÇÃO">
      <formula>NOT(ISERROR(SEARCH(("INTEGRAÇÃO"),(S6))))</formula>
    </cfRule>
    <cfRule type="cellIs" dxfId="126" priority="201" operator="equal">
      <formula>"INDISPONIVEL"</formula>
    </cfRule>
    <cfRule type="containsText" dxfId="125" priority="202" operator="containsText" text="INATIVO">
      <formula>NOT(ISERROR(SEARCH(("INATIVO"),(S6))))</formula>
    </cfRule>
    <cfRule type="containsText" dxfId="124" priority="203" operator="containsText" text="INTEGRAÇÃO">
      <formula>NOT(ISERROR(SEARCH(("INTEGRAÇÃO"),(#REF!))))</formula>
    </cfRule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max"/>
        <color rgb="FFFFEF9C"/>
        <color rgb="FF63BE7B"/>
      </colorScale>
    </cfRule>
  </conditionalFormatting>
  <conditionalFormatting sqref="S23">
    <cfRule type="containsText" dxfId="123" priority="84" operator="containsText" text="ROTA">
      <formula>NOT(ISERROR(SEARCH(("ROTA"),(#REF!))))</formula>
    </cfRule>
    <cfRule type="containsText" dxfId="122" priority="85" operator="containsText" text="ATIVO">
      <formula>NOT(ISERROR(SEARCH(("ATIVO"),(#REF!))))</formula>
    </cfRule>
    <cfRule type="containsText" dxfId="121" priority="86" operator="containsText" text="5X2">
      <formula>NOT(ISERROR(SEARCH(("5X2"),(#REF!))))</formula>
    </cfRule>
    <cfRule type="containsText" dxfId="120" priority="88" operator="containsText" text="ROTA">
      <formula>NOT(ISERROR(SEARCH(("ROTA"),(#REF!))))</formula>
    </cfRule>
    <cfRule type="containsText" dxfId="119" priority="89" operator="containsText" text="INDISPONÍVEL">
      <formula>NOT(ISERROR(SEARCH(("INDISPONÍVEL"),(#REF!))))</formula>
    </cfRule>
    <cfRule type="containsText" dxfId="118" priority="92" operator="containsText" text="ROTA">
      <formula>NOT(ISERROR(SEARCH(("ROTA"),(#REF!))))</formula>
    </cfRule>
    <cfRule type="containsText" dxfId="117" priority="93" operator="containsText" text="5X2">
      <formula>NOT(ISERROR(SEARCH(("5X2"),(#REF!))))</formula>
    </cfRule>
    <cfRule type="containsText" dxfId="116" priority="95" operator="containsText" text="INATIVO">
      <formula>NOT(ISERROR(SEARCH(("INATIVO"),(#REF!))))</formula>
    </cfRule>
    <cfRule type="containsText" dxfId="115" priority="96" operator="containsText" text="ROTA">
      <formula>NOT(ISERROR(SEARCH(("ROTA"),(#REF!))))</formula>
    </cfRule>
    <cfRule type="containsText" dxfId="114" priority="97" operator="containsText" text="ATIVO">
      <formula>NOT(ISERROR(SEARCH(("ATIVO"),(#REF!))))</formula>
    </cfRule>
    <cfRule type="containsText" dxfId="113" priority="98" operator="containsText" text="5X2">
      <formula>NOT(ISERROR(SEARCH(("5X2"),(S23))))</formula>
    </cfRule>
    <cfRule type="containsText" dxfId="112" priority="99" operator="containsText" text="INATIVO">
      <formula>NOT(ISERROR(SEARCH(("INATIVO"),(S23))))</formula>
    </cfRule>
    <cfRule type="containsText" dxfId="111" priority="100" operator="containsText" text="ATIVO">
      <formula>NOT(ISERROR(SEARCH(("ATIVO"),(S23))))</formula>
    </cfRule>
    <cfRule type="containsText" dxfId="110" priority="101" operator="containsText" text="INDISPONÍVEL">
      <formula>NOT(ISERROR(SEARCH(("INDISPONÍVEL"),(S23))))</formula>
    </cfRule>
    <cfRule type="containsText" dxfId="109" priority="102" operator="containsText" text="ROTA">
      <formula>NOT(ISERROR(SEARCH(("ROTA"),(S23))))</formula>
    </cfRule>
    <cfRule type="containsText" dxfId="108" priority="103" operator="containsText" text="INTEGRAÇÃO">
      <formula>NOT(ISERROR(SEARCH(("INTEGRAÇÃO"),(S23))))</formula>
    </cfRule>
    <cfRule type="cellIs" dxfId="107" priority="105" operator="equal">
      <formula>"INDISPONIVEL"</formula>
    </cfRule>
    <cfRule type="containsText" dxfId="106" priority="106" operator="containsText" text="INATIVO">
      <formula>NOT(ISERROR(SEARCH(("INATIVO"),(S23))))</formula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9">
      <colorScale>
        <cfvo type="min"/>
        <cfvo type="max"/>
        <color rgb="FFFFEF9C"/>
        <color rgb="FF63BE7B"/>
      </colorScale>
    </cfRule>
  </conditionalFormatting>
  <conditionalFormatting sqref="S6:T6">
    <cfRule type="containsText" dxfId="105" priority="147" operator="containsText" text="ROTA">
      <formula>NOT(ISERROR(SEARCH(("ROTA"),(#REF!))))</formula>
    </cfRule>
    <cfRule type="containsText" dxfId="104" priority="148" operator="containsText" text="5X2">
      <formula>NOT(ISERROR(SEARCH(("5X2"),(#REF!))))</formula>
    </cfRule>
    <cfRule type="containsText" dxfId="103" priority="149" operator="containsText" text="ROTA">
      <formula>NOT(ISERROR(SEARCH(("ROTA"),(#REF!))))</formula>
    </cfRule>
    <cfRule type="containsText" dxfId="102" priority="150" operator="containsText" text="ATIVO">
      <formula>NOT(ISERROR(SEARCH(("ATIVO"),(#REF!))))</formula>
    </cfRule>
    <cfRule type="containsText" dxfId="101" priority="154" operator="containsText" text="ATIVO">
      <formula>NOT(ISERROR(SEARCH(("ATIVO"),(#REF!))))</formula>
    </cfRule>
    <cfRule type="containsText" dxfId="100" priority="159" operator="containsText" text="INATIVO">
      <formula>NOT(ISERROR(SEARCH(("INATIVO"),(#REF!))))</formula>
    </cfRule>
    <cfRule type="containsText" dxfId="99" priority="168" operator="containsText" text="ATIVO">
      <formula>NOT(ISERROR(SEARCH(("ATIVO"),(#REF!))))</formula>
    </cfRule>
    <cfRule type="containsText" dxfId="98" priority="178" operator="containsText" text="INTEGRAÇÃO">
      <formula>NOT(ISERROR(SEARCH(("INTEGRAÇÃO"),(#REF!))))</formula>
    </cfRule>
  </conditionalFormatting>
  <conditionalFormatting sqref="S23:AH23">
    <cfRule type="containsText" dxfId="97" priority="55" operator="containsText" text="ATIVO">
      <formula>NOT(ISERROR(SEARCH(("ATIVO"),(#REF!))))</formula>
    </cfRule>
    <cfRule type="containsText" dxfId="96" priority="60" operator="containsText" text="INATIVO">
      <formula>NOT(ISERROR(SEARCH(("INATIVO"),(#REF!))))</formula>
    </cfRule>
    <cfRule type="containsText" dxfId="95" priority="78" operator="containsText" text="INTEGRAÇÃO">
      <formula>NOT(ISERROR(SEARCH(("INTEGRAÇÃO"),(#REF!))))</formula>
    </cfRule>
  </conditionalFormatting>
  <conditionalFormatting sqref="T6">
    <cfRule type="containsText" dxfId="94" priority="152" operator="containsText" text="INATIVO">
      <formula>NOT(ISERROR(SEARCH(("INATIVO"),(#REF!))))</formula>
    </cfRule>
    <cfRule type="containsText" dxfId="93" priority="155" operator="containsText" text="INTEGRAÇÃO">
      <formula>NOT(ISERROR(SEARCH(("INTEGRAÇÃO"),(#REF!))))</formula>
    </cfRule>
    <cfRule type="containsText" dxfId="92" priority="156" operator="containsText" text="ROTA">
      <formula>NOT(ISERROR(SEARCH(("ROTA"),(#REF!))))</formula>
    </cfRule>
    <cfRule type="containsText" dxfId="91" priority="157" operator="containsText" text="ATIVO">
      <formula>NOT(ISERROR(SEARCH(("ATIVO"),(#REF!))))</formula>
    </cfRule>
    <cfRule type="containsText" dxfId="90" priority="158" operator="containsText" text="5X2">
      <formula>NOT(ISERROR(SEARCH(("5X2"),(#REF!))))</formula>
    </cfRule>
    <cfRule type="containsText" dxfId="89" priority="160" operator="containsText" text="ROTA">
      <formula>NOT(ISERROR(SEARCH(("ROTA"),(#REF!))))</formula>
    </cfRule>
    <cfRule type="containsText" dxfId="88" priority="161" operator="containsText" text="INDISPONÍVEL">
      <formula>NOT(ISERROR(SEARCH(("INDISPONÍVEL"),(#REF!))))</formula>
    </cfRule>
    <cfRule type="containsText" dxfId="87" priority="163" operator="containsText" text="ROTA">
      <formula>NOT(ISERROR(SEARCH(("ROTA"),(#REF!))))</formula>
    </cfRule>
    <cfRule type="containsText" dxfId="86" priority="164" operator="containsText" text="5X2">
      <formula>NOT(ISERROR(SEARCH(("5X2"),(#REF!))))</formula>
    </cfRule>
    <cfRule type="containsText" dxfId="85" priority="166" operator="containsText" text="INATIVO">
      <formula>NOT(ISERROR(SEARCH(("INATIVO"),(#REF!))))</formula>
    </cfRule>
    <cfRule type="containsText" dxfId="84" priority="167" operator="containsText" text="ROTA">
      <formula>NOT(ISERROR(SEARCH(("ROTA"),(#REF!))))</formula>
    </cfRule>
    <cfRule type="containsText" dxfId="83" priority="169" operator="containsText" text="5X2">
      <formula>NOT(ISERROR(SEARCH(("5X2"),(T6))))</formula>
    </cfRule>
    <cfRule type="containsText" dxfId="82" priority="170" operator="containsText" text="INATIVO">
      <formula>NOT(ISERROR(SEARCH(("INATIVO"),(T6))))</formula>
    </cfRule>
    <cfRule type="containsText" dxfId="81" priority="171" operator="containsText" text="ATIVO">
      <formula>NOT(ISERROR(SEARCH(("ATIVO"),(T6))))</formula>
    </cfRule>
    <cfRule type="containsText" dxfId="80" priority="172" operator="containsText" text="INDISPONÍVEL">
      <formula>NOT(ISERROR(SEARCH(("INDISPONÍVEL"),(T6))))</formula>
    </cfRule>
    <cfRule type="containsText" dxfId="79" priority="173" operator="containsText" text="ROTA">
      <formula>NOT(ISERROR(SEARCH(("ROTA"),(T6))))</formula>
    </cfRule>
    <cfRule type="containsText" dxfId="78" priority="174" operator="containsText" text="INTEGRAÇÃO">
      <formula>NOT(ISERROR(SEARCH(("INTEGRAÇÃO"),(T6))))</formula>
    </cfRule>
    <cfRule type="containsText" dxfId="77" priority="175" operator="containsText" text="ATIVO">
      <formula>NOT(ISERROR(SEARCH(("ATIVO"),(#REF!))))</formula>
    </cfRule>
    <cfRule type="cellIs" dxfId="76" priority="176" operator="equal">
      <formula>"INDISPONIVEL"</formula>
    </cfRule>
    <cfRule type="containsText" dxfId="75" priority="177" operator="containsText" text="INATIVO">
      <formula>NOT(ISERROR(SEARCH(("INATIVO"),(T6))))</formula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0">
      <colorScale>
        <cfvo type="min"/>
        <cfvo type="max"/>
        <color rgb="FFFFEF9C"/>
        <color rgb="FF63BE7B"/>
      </colorScale>
    </cfRule>
  </conditionalFormatting>
  <conditionalFormatting sqref="T23:AH23">
    <cfRule type="containsText" dxfId="74" priority="53" operator="containsText" text="INATIVO">
      <formula>NOT(ISERROR(SEARCH(("INATIVO"),(#REF!))))</formula>
    </cfRule>
    <cfRule type="containsText" dxfId="73" priority="56" operator="containsText" text="INTEGRAÇÃO">
      <formula>NOT(ISERROR(SEARCH(("INTEGRAÇÃO"),(#REF!))))</formula>
    </cfRule>
    <cfRule type="containsText" dxfId="72" priority="57" operator="containsText" text="ROTA">
      <formula>NOT(ISERROR(SEARCH(("ROTA"),(#REF!))))</formula>
    </cfRule>
    <cfRule type="containsText" dxfId="71" priority="58" operator="containsText" text="ATIVO">
      <formula>NOT(ISERROR(SEARCH(("ATIVO"),(#REF!))))</formula>
    </cfRule>
    <cfRule type="containsText" dxfId="70" priority="59" operator="containsText" text="5X2">
      <formula>NOT(ISERROR(SEARCH(("5X2"),(#REF!))))</formula>
    </cfRule>
    <cfRule type="containsText" dxfId="69" priority="61" operator="containsText" text="ROTA">
      <formula>NOT(ISERROR(SEARCH(("ROTA"),(#REF!))))</formula>
    </cfRule>
    <cfRule type="containsText" dxfId="68" priority="62" operator="containsText" text="INDISPONÍVEL">
      <formula>NOT(ISERROR(SEARCH(("INDISPONÍVEL"),(#REF!))))</formula>
    </cfRule>
    <cfRule type="containsText" dxfId="67" priority="64" operator="containsText" text="ROTA">
      <formula>NOT(ISERROR(SEARCH(("ROTA"),(#REF!))))</formula>
    </cfRule>
    <cfRule type="containsText" dxfId="66" priority="65" operator="containsText" text="5X2">
      <formula>NOT(ISERROR(SEARCH(("5X2"),(#REF!))))</formula>
    </cfRule>
    <cfRule type="containsText" dxfId="65" priority="66" operator="containsText" text="INATIVO">
      <formula>NOT(ISERROR(SEARCH(("INATIVO"),(#REF!))))</formula>
    </cfRule>
    <cfRule type="containsText" dxfId="64" priority="67" operator="containsText" text="ROTA">
      <formula>NOT(ISERROR(SEARCH(("ROTA"),(#REF!))))</formula>
    </cfRule>
    <cfRule type="containsText" dxfId="63" priority="68" operator="containsText" text="ATIVO">
      <formula>NOT(ISERROR(SEARCH(("ATIVO"),(#REF!))))</formula>
    </cfRule>
    <cfRule type="containsText" dxfId="62" priority="69" operator="containsText" text="5X2">
      <formula>NOT(ISERROR(SEARCH(("5X2"),(T23))))</formula>
    </cfRule>
    <cfRule type="containsText" dxfId="61" priority="70" operator="containsText" text="INATIVO">
      <formula>NOT(ISERROR(SEARCH(("INATIVO"),(T23))))</formula>
    </cfRule>
    <cfRule type="containsText" dxfId="60" priority="71" operator="containsText" text="ATIVO">
      <formula>NOT(ISERROR(SEARCH(("ATIVO"),(T23))))</formula>
    </cfRule>
    <cfRule type="containsText" dxfId="59" priority="72" operator="containsText" text="INDISPONÍVEL">
      <formula>NOT(ISERROR(SEARCH(("INDISPONÍVEL"),(T23))))</formula>
    </cfRule>
    <cfRule type="containsText" dxfId="58" priority="73" operator="containsText" text="ROTA">
      <formula>NOT(ISERROR(SEARCH(("ROTA"),(T23))))</formula>
    </cfRule>
    <cfRule type="containsText" dxfId="57" priority="74" operator="containsText" text="INTEGRAÇÃO">
      <formula>NOT(ISERROR(SEARCH(("INTEGRAÇÃO"),(T23))))</formula>
    </cfRule>
    <cfRule type="cellIs" dxfId="56" priority="76" operator="equal">
      <formula>"INDISPONIVEL"</formula>
    </cfRule>
    <cfRule type="containsText" dxfId="55" priority="77" operator="containsText" text="INATIVO">
      <formula>NOT(ISERROR(SEARCH(("INATIVO"),(T23))))</formula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max"/>
        <color rgb="FFFFEF9C"/>
        <color rgb="FF63BE7B"/>
      </colorScale>
    </cfRule>
  </conditionalFormatting>
  <conditionalFormatting sqref="X25:X27">
    <cfRule type="containsText" dxfId="54" priority="223" operator="containsText" text="ROTA">
      <formula>NOT(ISERROR(SEARCH(("ROTA"),(#REF!))))</formula>
    </cfRule>
    <cfRule type="containsText" dxfId="53" priority="224" operator="containsText" text="5X2">
      <formula>NOT(ISERROR(SEARCH(("5X2"),(#REF!))))</formula>
    </cfRule>
    <cfRule type="containsText" dxfId="52" priority="225" operator="containsText" text="ROTA">
      <formula>NOT(ISERROR(SEARCH(("ROTA"),(#REF!))))</formula>
    </cfRule>
    <cfRule type="containsText" dxfId="51" priority="226" operator="containsText" text="ATIVO">
      <formula>NOT(ISERROR(SEARCH(("ATIVO"),(#REF!))))</formula>
    </cfRule>
    <cfRule type="containsText" dxfId="50" priority="227" operator="containsText" text="INATIVO">
      <formula>NOT(ISERROR(SEARCH(("INATIVO"),(#REF!))))</formula>
    </cfRule>
    <cfRule type="containsText" dxfId="49" priority="228" operator="containsText" text="INATIVO">
      <formula>NOT(ISERROR(SEARCH(("INATIVO"),(#REF!))))</formula>
    </cfRule>
    <cfRule type="containsText" dxfId="48" priority="229" operator="containsText" text="ATIVO">
      <formula>NOT(ISERROR(SEARCH(("ATIVO"),(#REF!))))</formula>
    </cfRule>
    <cfRule type="containsText" dxfId="47" priority="230" operator="containsText" text="INTEGRAÇÃO">
      <formula>NOT(ISERROR(SEARCH(("INTEGRAÇÃO"),(#REF!))))</formula>
    </cfRule>
    <cfRule type="containsText" dxfId="46" priority="231" operator="containsText" text="ROTA">
      <formula>NOT(ISERROR(SEARCH(("ROTA"),(#REF!))))</formula>
    </cfRule>
    <cfRule type="containsText" dxfId="45" priority="232" operator="containsText" text="ATIVO">
      <formula>NOT(ISERROR(SEARCH(("ATIVO"),(#REF!))))</formula>
    </cfRule>
    <cfRule type="containsText" dxfId="44" priority="233" operator="containsText" text="5X2">
      <formula>NOT(ISERROR(SEARCH(("5X2"),(#REF!))))</formula>
    </cfRule>
    <cfRule type="containsText" dxfId="43" priority="234" operator="containsText" text="INATIVO">
      <formula>NOT(ISERROR(SEARCH(("INATIVO"),(#REF!))))</formula>
    </cfRule>
    <cfRule type="containsText" dxfId="42" priority="235" operator="containsText" text="ROTA">
      <formula>NOT(ISERROR(SEARCH(("ROTA"),(#REF!))))</formula>
    </cfRule>
    <cfRule type="containsText" dxfId="41" priority="236" operator="containsText" text="INDISPONÍVEL">
      <formula>NOT(ISERROR(SEARCH(("INDISPONÍVEL"),(#REF!))))</formula>
    </cfRule>
    <cfRule type="containsText" dxfId="40" priority="237" operator="containsText" text="ATIVO">
      <formula>NOT(ISERROR(SEARCH(("ATIVO"),(#REF!))))</formula>
    </cfRule>
    <cfRule type="containsText" dxfId="39" priority="238" operator="containsText" text="INDISPONÍVEL">
      <formula>NOT(ISERROR(SEARCH(("INDISPONÍVEL"),(#REF!))))</formula>
    </cfRule>
    <cfRule type="containsText" dxfId="38" priority="239" operator="containsText" text="INATIVO">
      <formula>NOT(ISERROR(SEARCH(("INATIVO"),(#REF!))))</formula>
    </cfRule>
    <cfRule type="containsText" dxfId="37" priority="240" operator="containsText" text="ROTA">
      <formula>NOT(ISERROR(SEARCH(("ROTA"),(#REF!))))</formula>
    </cfRule>
    <cfRule type="containsText" dxfId="36" priority="241" operator="containsText" text="5X2">
      <formula>NOT(ISERROR(SEARCH(("5X2"),(#REF!))))</formula>
    </cfRule>
    <cfRule type="containsText" dxfId="35" priority="242" operator="containsText" text="INATIVO">
      <formula>NOT(ISERROR(SEARCH(("INATIVO"),(#REF!))))</formula>
    </cfRule>
    <cfRule type="containsText" dxfId="34" priority="243" operator="containsText" text="ROTA">
      <formula>NOT(ISERROR(SEARCH(("ROTA"),(#REF!))))</formula>
    </cfRule>
    <cfRule type="containsText" dxfId="33" priority="244" operator="containsText" text="INATIVO">
      <formula>NOT(ISERROR(SEARCH(("INATIVO"),(#REF!))))</formula>
    </cfRule>
    <cfRule type="containsText" dxfId="32" priority="245" operator="containsText" text="ATIVO">
      <formula>NOT(ISERROR(SEARCH(("ATIVO"),(#REF!))))</formula>
    </cfRule>
    <cfRule type="containsText" dxfId="31" priority="246" operator="containsText" text="5X2">
      <formula>NOT(ISERROR(SEARCH(("5X2"),(X25))))</formula>
    </cfRule>
    <cfRule type="containsText" dxfId="30" priority="247" operator="containsText" text="INATIVO">
      <formula>NOT(ISERROR(SEARCH(("INATIVO"),(X25))))</formula>
    </cfRule>
    <cfRule type="containsText" dxfId="29" priority="248" operator="containsText" text="ATIVO">
      <formula>NOT(ISERROR(SEARCH(("ATIVO"),(X25))))</formula>
    </cfRule>
    <cfRule type="containsText" dxfId="28" priority="249" operator="containsText" text="INDISPONÍVEL">
      <formula>NOT(ISERROR(SEARCH(("INDISPONÍVEL"),(X25))))</formula>
    </cfRule>
    <cfRule type="containsText" dxfId="27" priority="250" operator="containsText" text="ROTA">
      <formula>NOT(ISERROR(SEARCH(("ROTA"),(X25))))</formula>
    </cfRule>
    <cfRule type="containsText" dxfId="26" priority="251" operator="containsText" text="INTEGRAÇÃO">
      <formula>NOT(ISERROR(SEARCH(("INTEGRAÇÃO"),(X25))))</formula>
    </cfRule>
    <cfRule type="containsText" dxfId="25" priority="252" operator="containsText" text="ATIVO">
      <formula>NOT(ISERROR(SEARCH(("ATIVO"),(#REF!))))</formula>
    </cfRule>
    <cfRule type="cellIs" dxfId="24" priority="253" operator="equal">
      <formula>"INDISPONIVEL"</formula>
    </cfRule>
    <cfRule type="containsText" dxfId="23" priority="254" operator="containsText" text="INATIVO">
      <formula>NOT(ISERROR(SEARCH(("INATIVO"),(X25))))</formula>
    </cfRule>
    <cfRule type="containsText" dxfId="22" priority="255" operator="containsText" text="INTEGRAÇÃO">
      <formula>NOT(ISERROR(SEARCH(("INTEGRAÇÃO"),(#REF!))))</formula>
    </cfRule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7">
      <colorScale>
        <cfvo type="min"/>
        <cfvo type="max"/>
        <color rgb="FFFFEF9C"/>
        <color rgb="FF63BE7B"/>
      </colorScale>
    </cfRule>
  </conditionalFormatting>
  <conditionalFormatting sqref="AD24">
    <cfRule type="containsText" dxfId="21" priority="212" operator="containsText" text="SIM">
      <formula>NOT(ISERROR(SEARCH("SIM",AD24)))</formula>
    </cfRule>
  </conditionalFormatting>
  <conditionalFormatting sqref="AH13">
    <cfRule type="containsText" dxfId="20" priority="211" operator="containsText" text="SIM">
      <formula>NOT(ISERROR(SEARCH("SIM",AH13)))</formula>
    </cfRule>
  </conditionalFormatting>
  <dataValidations count="1">
    <dataValidation type="list" allowBlank="1" showInputMessage="1" showErrorMessage="1" sqref="I22:AH30 D2:J6 F22:H26 E7:E26 F7:J20 F21:AH21 K2:AH20 D7:D30 E27:H30" xr:uid="{D992B52B-3C3A-4BE8-80C5-AF26DBED8714}">
      <formula1>$AN$2:$AN$8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DBE76-DEBE-4A85-B08A-249FDAC723C6}">
  <dimension ref="B1:J24"/>
  <sheetViews>
    <sheetView workbookViewId="0">
      <selection activeCell="L15" sqref="L15"/>
    </sheetView>
  </sheetViews>
  <sheetFormatPr defaultColWidth="9.140625" defaultRowHeight="15"/>
  <cols>
    <col min="1" max="1" width="4.5703125" style="165" customWidth="1"/>
    <col min="2" max="4" width="9.140625" style="165"/>
    <col min="5" max="5" width="17.5703125" style="165" bestFit="1" customWidth="1"/>
    <col min="6" max="6" width="9.140625" style="165"/>
    <col min="7" max="7" width="16.5703125" style="165" bestFit="1" customWidth="1"/>
    <col min="8" max="8" width="8.5703125" style="165" bestFit="1" customWidth="1"/>
    <col min="9" max="9" width="16.5703125" style="165" customWidth="1"/>
    <col min="10" max="16384" width="9.140625" style="165"/>
  </cols>
  <sheetData>
    <row r="1" spans="2:10">
      <c r="B1" s="187" t="s">
        <v>354</v>
      </c>
    </row>
    <row r="2" spans="2:10">
      <c r="B2" t="s">
        <v>5</v>
      </c>
      <c r="C2" t="s">
        <v>4</v>
      </c>
      <c r="D2" t="s">
        <v>355</v>
      </c>
      <c r="E2" t="s">
        <v>8</v>
      </c>
      <c r="F2" t="s">
        <v>356</v>
      </c>
      <c r="G2" t="s">
        <v>10</v>
      </c>
      <c r="H2" t="s">
        <v>357</v>
      </c>
      <c r="I2" t="s">
        <v>358</v>
      </c>
      <c r="J2" t="s">
        <v>359</v>
      </c>
    </row>
    <row r="3" spans="2:10">
      <c r="B3" t="str" cm="1">
        <f t="array" ref="B3">IFERROR(INDEX('03114902'!I:I, SMALL(IF('03114902'!U:U="Recarga", ROW('03114902'!U:U)), ROW(A1))), "")</f>
        <v/>
      </c>
      <c r="C3" t="str">
        <f>IFERROR(VLOOKUP(Tabela2[[#This Row],[Mapa]],'03114902'!I:O,7),"")</f>
        <v/>
      </c>
      <c r="D3"/>
      <c r="E3"/>
      <c r="F3"/>
      <c r="G3"/>
      <c r="H3"/>
      <c r="I3"/>
      <c r="J3" t="str">
        <f>IFERROR(IF(AND(INDEX('03.11.20'!B:B, MATCH(B3, '03.11.20'!A:A, 0)) = "Saida Cdd/Fab        "), "SIM", ""),"")</f>
        <v/>
      </c>
    </row>
    <row r="4" spans="2:10">
      <c r="B4" t="str" cm="1">
        <f t="array" ref="B4">IFERROR(INDEX('03114902'!I:I, SMALL(IF('03114902'!U:U="Recarga", ROW('03114902'!U:U)), ROW(A2))), "")</f>
        <v/>
      </c>
      <c r="C4" t="str">
        <f>IFERROR(VLOOKUP(Tabela2[[#This Row],[Mapa]],'03114902'!I:O,7),"")</f>
        <v/>
      </c>
      <c r="D4"/>
      <c r="E4"/>
      <c r="F4"/>
      <c r="G4"/>
      <c r="H4"/>
      <c r="I4"/>
      <c r="J4" t="str">
        <f>IFERROR(IF(AND(INDEX('03.11.20'!B:B, MATCH(B4, '03.11.20'!A:A, 0)) = "Saida Cdd/Fab        "), "SIM", ""),"")</f>
        <v/>
      </c>
    </row>
    <row r="5" spans="2:10">
      <c r="B5" t="str" cm="1">
        <f t="array" ref="B5">IFERROR(INDEX('03114902'!I:I, SMALL(IF('03114902'!U:U="Recarga", ROW('03114902'!U:U)), ROW(A3))), "")</f>
        <v/>
      </c>
      <c r="C5" t="str">
        <f>IFERROR(VLOOKUP(Tabela2[[#This Row],[Mapa]],'03114902'!I:O,7),"")</f>
        <v/>
      </c>
      <c r="D5"/>
      <c r="E5"/>
      <c r="F5"/>
      <c r="G5"/>
      <c r="H5"/>
      <c r="I5"/>
      <c r="J5" t="str">
        <f>IFERROR(IF(AND(INDEX('03.11.20'!B:B, MATCH(B5, '03.11.20'!A:A, 0)) = "Saida Cdd/Fab        "), "SIM", ""),"")</f>
        <v/>
      </c>
    </row>
    <row r="6" spans="2:10">
      <c r="B6" t="str" cm="1">
        <f t="array" ref="B6">IFERROR(INDEX('03114902'!I:I, SMALL(IF('03114902'!U:U="Recarga", ROW('03114902'!U:U)), ROW(A4))), "")</f>
        <v/>
      </c>
      <c r="C6" t="str">
        <f>IFERROR(VLOOKUP(Tabela2[[#This Row],[Mapa]],'03114902'!I:O,7),"")</f>
        <v/>
      </c>
      <c r="D6"/>
      <c r="E6"/>
      <c r="F6"/>
      <c r="G6"/>
      <c r="H6"/>
      <c r="I6"/>
      <c r="J6" t="str">
        <f>IFERROR(IF(AND(INDEX('03.11.20'!B:B, MATCH(B6, '03.11.20'!A:A, 0)) = "Saida Cdd/Fab        "), "SIM", ""),"")</f>
        <v/>
      </c>
    </row>
    <row r="7" spans="2:10">
      <c r="B7" t="str" cm="1">
        <f t="array" ref="B7">IFERROR(INDEX('03114902'!I:I, SMALL(IF('03114902'!U:U="Recarga", ROW('03114902'!U:U)), ROW(A5))), "")</f>
        <v/>
      </c>
      <c r="C7" t="str">
        <f>IFERROR(VLOOKUP(Tabela2[[#This Row],[Mapa]],'03114902'!I:O,7),"")</f>
        <v/>
      </c>
      <c r="D7"/>
      <c r="E7"/>
      <c r="F7"/>
      <c r="G7"/>
      <c r="H7"/>
      <c r="I7"/>
      <c r="J7" t="str">
        <f>IFERROR(IF(AND(INDEX('03.11.20'!B:B, MATCH(B7, '03.11.20'!A:A, 0)) = "Saida Cdd/Fab        "), "SIM", ""),"")</f>
        <v/>
      </c>
    </row>
    <row r="8" spans="2:10">
      <c r="B8" t="str" cm="1">
        <f t="array" ref="B8">IFERROR(INDEX('03114902'!I:I, SMALL(IF('03114902'!U:U="Recarga", ROW('03114902'!U:U)), ROW(A6))), "")</f>
        <v/>
      </c>
      <c r="C8" t="str">
        <f>IFERROR(VLOOKUP(Tabela2[[#This Row],[Mapa]],'03114902'!I:O,7),"")</f>
        <v/>
      </c>
      <c r="D8"/>
      <c r="E8"/>
      <c r="F8"/>
      <c r="G8"/>
      <c r="H8"/>
      <c r="I8"/>
      <c r="J8" t="str">
        <f>IFERROR(IF(AND(INDEX('03.11.20'!B:B, MATCH(B8, '03.11.20'!A:A, 0)) = "Saida Cdd/Fab        "), "SIM", ""),"")</f>
        <v/>
      </c>
    </row>
    <row r="9" spans="2:10">
      <c r="B9" t="str" cm="1">
        <f t="array" ref="B9">IFERROR(INDEX('03114902'!I:I, SMALL(IF('03114902'!U:U="Recarga", ROW('03114902'!U:U)), ROW(A7))), "")</f>
        <v/>
      </c>
      <c r="C9" t="str">
        <f>IFERROR(VLOOKUP(Tabela2[[#This Row],[Mapa]],'03114902'!I:O,7),"")</f>
        <v/>
      </c>
      <c r="D9"/>
      <c r="E9"/>
      <c r="F9"/>
      <c r="G9"/>
      <c r="H9"/>
      <c r="I9"/>
      <c r="J9" t="str">
        <f>IFERROR(IF(AND(INDEX('03.11.20'!B:B, MATCH(B9, '03.11.20'!A:A, 0)) = "Saida Cdd/Fab        "), "SIM", ""),"")</f>
        <v/>
      </c>
    </row>
    <row r="10" spans="2:10">
      <c r="B10" t="str" cm="1">
        <f t="array" ref="B10">IFERROR(INDEX('03114902'!I:I, SMALL(IF('03114902'!U:U="Recarga", ROW('03114902'!U:U)), ROW(A8))), "")</f>
        <v/>
      </c>
      <c r="C10" t="str">
        <f>IFERROR(VLOOKUP(Tabela2[[#This Row],[Mapa]],'03114902'!I:O,7),"")</f>
        <v/>
      </c>
      <c r="D10"/>
      <c r="E10"/>
      <c r="F10"/>
      <c r="G10"/>
      <c r="H10"/>
      <c r="I10"/>
      <c r="J10" t="str">
        <f>IFERROR(IF(AND(INDEX('03.11.20'!B:B, MATCH(B10, '03.11.20'!A:A, 0)) = "Saida Cdd/Fab        "), "SIM", ""),"")</f>
        <v/>
      </c>
    </row>
    <row r="11" spans="2:10">
      <c r="B11" t="str" cm="1">
        <f t="array" ref="B11">IFERROR(INDEX('03114902'!I:I, SMALL(IF('03114902'!U:U="Recarga", ROW('03114902'!U:U)), ROW(A9))), "")</f>
        <v/>
      </c>
      <c r="C11" t="str">
        <f>IFERROR(VLOOKUP(Tabela2[[#This Row],[Mapa]],'03114902'!I:O,7),"")</f>
        <v/>
      </c>
      <c r="D11"/>
      <c r="E11"/>
      <c r="F11"/>
      <c r="G11"/>
      <c r="H11"/>
      <c r="I11"/>
      <c r="J11" t="str">
        <f>IFERROR(IF(AND(INDEX('03.11.20'!B:B, MATCH(B11, '03.11.20'!A:A, 0)) = "Saida Cdd/Fab        "), "SIM", ""),"")</f>
        <v/>
      </c>
    </row>
    <row r="12" spans="2:10">
      <c r="B12" t="str" cm="1">
        <f t="array" ref="B12">IFERROR(INDEX('03114902'!I:I, SMALL(IF('03114902'!U:U="Recarga", ROW('03114902'!U:U)), ROW(A10))), "")</f>
        <v/>
      </c>
      <c r="C12" t="str">
        <f>IFERROR(VLOOKUP(Tabela2[[#This Row],[Mapa]],'03114902'!I:O,7),"")</f>
        <v/>
      </c>
      <c r="D12"/>
      <c r="E12"/>
      <c r="F12"/>
      <c r="G12"/>
      <c r="H12"/>
      <c r="I12"/>
      <c r="J12" t="str">
        <f>IFERROR(IF(AND(INDEX('03.11.20'!B:B, MATCH(B12, '03.11.20'!A:A, 0)) = "Saida Cdd/Fab        "), "SIM", ""),"")</f>
        <v/>
      </c>
    </row>
    <row r="13" spans="2:10">
      <c r="B13" t="str" cm="1">
        <f t="array" ref="B13">IFERROR(INDEX('03114902'!I:I, SMALL(IF('03114902'!U:U="Recarga", ROW('03114902'!U:U)), ROW(A11))), "")</f>
        <v/>
      </c>
      <c r="C13" t="str">
        <f>IFERROR(VLOOKUP(Tabela2[[#This Row],[Mapa]],'03114902'!I:O,7),"")</f>
        <v/>
      </c>
      <c r="D13"/>
      <c r="E13"/>
      <c r="F13"/>
      <c r="G13"/>
      <c r="H13"/>
      <c r="I13"/>
      <c r="J13" t="str">
        <f>IFERROR(IF(AND(INDEX('03.11.20'!B:B, MATCH(B13, '03.11.20'!A:A, 0)) = "Saida Cdd/Fab        "), "SIM", ""),"")</f>
        <v/>
      </c>
    </row>
    <row r="14" spans="2:10">
      <c r="B14" t="str" cm="1">
        <f t="array" ref="B14">IFERROR(INDEX('03114902'!I:I, SMALL(IF('03114902'!U:U="Recarga", ROW('03114902'!U:U)), ROW(A12))), "")</f>
        <v/>
      </c>
      <c r="C14" t="str">
        <f>IFERROR(VLOOKUP(Tabela2[[#This Row],[Mapa]],'03114902'!I:O,7),"")</f>
        <v/>
      </c>
      <c r="D14"/>
      <c r="E14"/>
      <c r="F14"/>
      <c r="G14"/>
      <c r="H14"/>
      <c r="I14"/>
      <c r="J14" t="str">
        <f>IFERROR(IF(AND(INDEX('03.11.20'!B:B, MATCH(B14, '03.11.20'!A:A, 0)) = "Saida Cdd/Fab        "), "SIM", ""),"")</f>
        <v/>
      </c>
    </row>
    <row r="15" spans="2:10">
      <c r="B15" t="str" cm="1">
        <f t="array" ref="B15">IFERROR(INDEX('03114902'!I:I, SMALL(IF('03114902'!U:U="Recarga", ROW('03114902'!U:U)), ROW(A13))), "")</f>
        <v/>
      </c>
      <c r="C15" t="str">
        <f>IFERROR(VLOOKUP(Tabela2[[#This Row],[Mapa]],'03114902'!I:O,7),"")</f>
        <v/>
      </c>
      <c r="D15"/>
      <c r="E15"/>
      <c r="F15"/>
      <c r="G15"/>
      <c r="H15"/>
      <c r="I15"/>
      <c r="J15" t="str">
        <f>IFERROR(IF(AND(INDEX('03.11.20'!B:B, MATCH(B15, '03.11.20'!A:A, 0)) = "Saida Cdd/Fab        "), "SIM", ""),"")</f>
        <v/>
      </c>
    </row>
    <row r="16" spans="2:10">
      <c r="B16" t="str" cm="1">
        <f t="array" ref="B16">IFERROR(INDEX('03114902'!I:I, SMALL(IF('03114902'!U:U="Recarga", ROW('03114902'!U:U)), ROW(A14))), "")</f>
        <v/>
      </c>
      <c r="C16" t="str">
        <f>IFERROR(VLOOKUP(Tabela2[[#This Row],[Mapa]],'03114902'!I:O,7),"")</f>
        <v/>
      </c>
      <c r="D16"/>
      <c r="E16"/>
      <c r="F16"/>
      <c r="G16"/>
      <c r="H16"/>
      <c r="I16"/>
      <c r="J16" t="str">
        <f>IFERROR(IF(AND(INDEX('03.11.20'!B:B, MATCH(B16, '03.11.20'!A:A, 0)) = "Saida Cdd/Fab        "), "SIM", ""),"")</f>
        <v/>
      </c>
    </row>
    <row r="17" spans="2:10">
      <c r="B17" t="str" cm="1">
        <f t="array" ref="B17">IFERROR(INDEX('03114902'!I:I, SMALL(IF('03114902'!U:U="Recarga", ROW('03114902'!U:U)), ROW(A15))), "")</f>
        <v/>
      </c>
      <c r="C17" t="str">
        <f>IFERROR(VLOOKUP(Tabela2[[#This Row],[Mapa]],'03114902'!I:O,7),"")</f>
        <v/>
      </c>
      <c r="D17"/>
      <c r="E17"/>
      <c r="F17"/>
      <c r="G17"/>
      <c r="H17"/>
      <c r="I17"/>
      <c r="J17" t="str">
        <f>IFERROR(IF(AND(INDEX('03.11.20'!B:B, MATCH(B17, '03.11.20'!A:A, 0)) = "Saida Cdd/Fab        "), "SIM", ""),"")</f>
        <v/>
      </c>
    </row>
    <row r="18" spans="2:10">
      <c r="B18" t="str" cm="1">
        <f t="array" ref="B18">IFERROR(INDEX('03114902'!I:I, SMALL(IF('03114902'!U:U="Recarga", ROW('03114902'!U:U)), ROW(A16))), "")</f>
        <v/>
      </c>
      <c r="C18" t="str">
        <f>IFERROR(VLOOKUP(Tabela2[[#This Row],[Mapa]],'03114902'!I:O,7),"")</f>
        <v/>
      </c>
      <c r="D18"/>
      <c r="E18"/>
      <c r="F18"/>
      <c r="G18"/>
      <c r="H18"/>
      <c r="I18"/>
      <c r="J18" t="str">
        <f>IFERROR(IF(AND(INDEX('03.11.20'!B:B, MATCH(B18, '03.11.20'!A:A, 0)) = "Saida Cdd/Fab        "), "SIM", ""),"")</f>
        <v/>
      </c>
    </row>
    <row r="19" spans="2:10">
      <c r="B19" t="str" cm="1">
        <f t="array" ref="B19">IFERROR(INDEX('03114902'!I:I, SMALL(IF('03114902'!U:U="Recarga", ROW('03114902'!U:U)), ROW(A17))), "")</f>
        <v/>
      </c>
      <c r="C19" t="str">
        <f>IFERROR(VLOOKUP(Tabela2[[#This Row],[Mapa]],'03114902'!I:O,7),"")</f>
        <v/>
      </c>
      <c r="D19"/>
      <c r="E19"/>
      <c r="F19"/>
      <c r="G19"/>
      <c r="H19"/>
      <c r="I19"/>
      <c r="J19" t="str">
        <f>IFERROR(IF(AND(INDEX('03.11.20'!B:B, MATCH(B19, '03.11.20'!A:A, 0)) = "Saida Cdd/Fab        "), "SIM", ""),"")</f>
        <v/>
      </c>
    </row>
    <row r="20" spans="2:10">
      <c r="B20" t="str" cm="1">
        <f t="array" ref="B20">IFERROR(INDEX('03114902'!I:I, SMALL(IF('03114902'!U:U="Recarga", ROW('03114902'!U:U)), ROW(A18))), "")</f>
        <v/>
      </c>
      <c r="C20" t="str">
        <f>IFERROR(VLOOKUP(Tabela2[[#This Row],[Mapa]],'03114902'!I:O,7),"")</f>
        <v/>
      </c>
      <c r="D20"/>
      <c r="E20"/>
      <c r="F20"/>
      <c r="G20"/>
      <c r="H20"/>
      <c r="I20"/>
      <c r="J20" t="str">
        <f>IFERROR(IF(AND(INDEX('03.11.20'!B:B, MATCH(B20, '03.11.20'!A:A, 0)) = "Saida Cdd/Fab        "), "SIM", ""),"")</f>
        <v/>
      </c>
    </row>
    <row r="21" spans="2:10">
      <c r="B21" t="str" cm="1">
        <f t="array" ref="B21">IFERROR(INDEX('03114902'!I:I, SMALL(IF('03114902'!U:U="Recarga", ROW('03114902'!U:U)), ROW(A19))), "")</f>
        <v/>
      </c>
      <c r="C21" t="str">
        <f>IFERROR(VLOOKUP(Tabela2[[#This Row],[Mapa]],'03114902'!I:O,7),"")</f>
        <v/>
      </c>
      <c r="D21"/>
      <c r="E21"/>
      <c r="F21"/>
      <c r="G21"/>
      <c r="H21"/>
      <c r="I21"/>
      <c r="J21" t="str">
        <f>IFERROR(IF(AND(INDEX('03.11.20'!B:B, MATCH(B21, '03.11.20'!A:A, 0)) = "Saida Cdd/Fab        "), "SIM", ""),"")</f>
        <v/>
      </c>
    </row>
    <row r="22" spans="2:10">
      <c r="B22" t="str" cm="1">
        <f t="array" ref="B22">IFERROR(INDEX('03114902'!I:I, SMALL(IF('03114902'!U:U="Recarga", ROW('03114902'!U:U)), ROW(A20))), "")</f>
        <v/>
      </c>
      <c r="C22" t="str">
        <f>IFERROR(VLOOKUP(Tabela2[[#This Row],[Mapa]],'03114902'!I:O,7),"")</f>
        <v/>
      </c>
      <c r="D22"/>
      <c r="E22"/>
      <c r="F22"/>
      <c r="G22"/>
      <c r="H22"/>
      <c r="I22"/>
      <c r="J22" t="str">
        <f>IFERROR(IF(AND(INDEX('03.11.20'!B:B, MATCH(B22, '03.11.20'!A:A, 0)) = "Saida Cdd/Fab        "), "SIM", ""),"")</f>
        <v/>
      </c>
    </row>
    <row r="23" spans="2:10">
      <c r="B23" t="str" cm="1">
        <f t="array" ref="B23">IFERROR(INDEX('03114902'!I:I, SMALL(IF('03114902'!U:U="Recarga", ROW('03114902'!U:U)), ROW(A21))), "")</f>
        <v/>
      </c>
      <c r="C23" t="str">
        <f>IFERROR(VLOOKUP(Tabela2[[#This Row],[Mapa]],'03114902'!I:O,7),"")</f>
        <v/>
      </c>
      <c r="D23"/>
      <c r="E23"/>
      <c r="F23"/>
      <c r="G23"/>
      <c r="H23"/>
      <c r="I23"/>
      <c r="J23" t="str">
        <f>IFERROR(IF(AND(INDEX('03.11.20'!B:B, MATCH(B23, '03.11.20'!A:A, 0)) = "Saida Cdd/Fab        "), "SIM", ""),"")</f>
        <v/>
      </c>
    </row>
    <row r="24" spans="2:10">
      <c r="B24" t="str" cm="1">
        <f t="array" ref="B24">IFERROR(INDEX('03114902'!I:I, SMALL(IF('03114902'!U:U="Recarga", ROW('03114902'!U:U)), ROW(A22))), "")</f>
        <v/>
      </c>
      <c r="C24" t="str">
        <f>IFERROR(VLOOKUP(Tabela2[[#This Row],[Mapa]],'03114902'!I:O,7),"")</f>
        <v/>
      </c>
      <c r="D24"/>
      <c r="E24"/>
      <c r="F24"/>
      <c r="G24"/>
      <c r="H24"/>
      <c r="I24"/>
      <c r="J24" t="str">
        <f>IFERROR(IF(AND(INDEX('03.11.20'!B:B, MATCH(B24, '03.11.20'!A:A, 0)) = "Saida Cdd/Fab        "), "SIM", ""),"")</f>
        <v/>
      </c>
    </row>
  </sheetData>
  <conditionalFormatting sqref="J3:J24">
    <cfRule type="containsText" dxfId="19" priority="1" operator="containsText" text="SIM">
      <formula>NOT(ISERROR(SEARCH("SIM",J3)))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64"/>
  <sheetViews>
    <sheetView topLeftCell="A19" zoomScale="85" zoomScaleNormal="85" workbookViewId="0">
      <selection activeCell="P38" sqref="P38"/>
    </sheetView>
  </sheetViews>
  <sheetFormatPr defaultRowHeight="15"/>
  <cols>
    <col min="1" max="1" width="4.42578125" style="212" bestFit="1" customWidth="1"/>
    <col min="2" max="2" width="39.140625" style="212" bestFit="1" customWidth="1"/>
    <col min="3" max="3" width="4.42578125" style="212" bestFit="1" customWidth="1"/>
    <col min="4" max="4" width="35.85546875" style="212" bestFit="1" customWidth="1"/>
    <col min="5" max="5" width="5.42578125" style="211" customWidth="1"/>
    <col min="6" max="6" width="9.42578125" style="210" bestFit="1" customWidth="1"/>
    <col min="7" max="9" width="9.140625" style="210"/>
    <col min="10" max="10" width="5.42578125" style="216" customWidth="1"/>
    <col min="11" max="13" width="9.140625" style="214"/>
    <col min="14" max="14" width="5.42578125" style="213" customWidth="1"/>
    <col min="15" max="15" width="4.42578125" style="218" bestFit="1" customWidth="1"/>
    <col min="16" max="16" width="28.42578125" style="218" bestFit="1" customWidth="1"/>
    <col min="17" max="17" width="5.42578125" style="217" customWidth="1"/>
    <col min="18" max="18" width="4.140625" style="220" bestFit="1" customWidth="1"/>
    <col min="19" max="19" width="14.28515625" style="220" bestFit="1" customWidth="1"/>
    <col min="20" max="20" width="5.42578125" style="219" customWidth="1"/>
    <col min="21" max="21" width="0" hidden="1" customWidth="1"/>
    <col min="22" max="23" width="9.140625" hidden="1" customWidth="1"/>
    <col min="24" max="24" width="18.42578125" bestFit="1" customWidth="1"/>
    <col min="25" max="25" width="7.5703125" bestFit="1" customWidth="1"/>
  </cols>
  <sheetData>
    <row r="1" spans="1:25">
      <c r="A1" s="212" t="s">
        <v>34</v>
      </c>
      <c r="B1" s="212" t="s">
        <v>360</v>
      </c>
      <c r="C1" s="212" t="s">
        <v>34</v>
      </c>
      <c r="D1" s="212" t="s">
        <v>361</v>
      </c>
      <c r="E1" s="321" t="s">
        <v>362</v>
      </c>
      <c r="F1" s="210" t="s">
        <v>35</v>
      </c>
      <c r="G1" s="210" t="s">
        <v>363</v>
      </c>
      <c r="H1" s="210" t="s">
        <v>364</v>
      </c>
      <c r="I1" s="210" t="s">
        <v>365</v>
      </c>
      <c r="J1" s="322" t="s">
        <v>366</v>
      </c>
      <c r="K1" s="214" t="s">
        <v>35</v>
      </c>
      <c r="L1" s="214" t="s">
        <v>363</v>
      </c>
      <c r="M1" s="214" t="s">
        <v>364</v>
      </c>
      <c r="N1" s="323" t="s">
        <v>367</v>
      </c>
      <c r="O1" s="218" t="s">
        <v>34</v>
      </c>
      <c r="P1" s="218" t="s">
        <v>360</v>
      </c>
      <c r="Q1" s="324" t="s">
        <v>368</v>
      </c>
      <c r="R1" s="220" t="s">
        <v>34</v>
      </c>
      <c r="S1" s="220" t="s">
        <v>75</v>
      </c>
      <c r="T1" s="325" t="s">
        <v>369</v>
      </c>
      <c r="V1">
        <f t="shared" ref="V1:V31" si="0">A2</f>
        <v>2</v>
      </c>
      <c r="X1" s="159" t="s">
        <v>365</v>
      </c>
      <c r="Y1" t="s">
        <v>370</v>
      </c>
    </row>
    <row r="2" spans="1:25">
      <c r="A2" s="212">
        <v>2</v>
      </c>
      <c r="B2" s="212" t="s">
        <v>371</v>
      </c>
      <c r="C2" s="212">
        <v>9</v>
      </c>
      <c r="D2" s="212" t="s">
        <v>372</v>
      </c>
      <c r="E2" s="321"/>
      <c r="F2" s="210" t="s">
        <v>373</v>
      </c>
      <c r="G2" s="210" t="s">
        <v>169</v>
      </c>
      <c r="H2" s="210" t="s">
        <v>272</v>
      </c>
      <c r="I2" s="210" t="str">
        <f>_xlfn.XLOOKUP(F2,FIDELIZAÇÃO!C:C,FIDELIZAÇÃO!E:E,"NOK",0)</f>
        <v>NOK</v>
      </c>
      <c r="J2" s="322"/>
      <c r="K2" s="214" t="s">
        <v>121</v>
      </c>
      <c r="L2" s="214" t="s">
        <v>119</v>
      </c>
      <c r="M2" s="214" t="s">
        <v>374</v>
      </c>
      <c r="N2" s="323"/>
      <c r="O2" s="218">
        <v>195</v>
      </c>
      <c r="P2" s="218" t="s">
        <v>375</v>
      </c>
      <c r="Q2" s="324"/>
      <c r="R2" s="220">
        <v>100</v>
      </c>
      <c r="S2" s="220" t="s">
        <v>105</v>
      </c>
      <c r="T2" s="325"/>
      <c r="V2">
        <f t="shared" si="0"/>
        <v>14</v>
      </c>
    </row>
    <row r="3" spans="1:25">
      <c r="A3" s="212">
        <v>14</v>
      </c>
      <c r="B3" s="212" t="s">
        <v>292</v>
      </c>
      <c r="C3" s="212">
        <v>120</v>
      </c>
      <c r="D3" s="212" t="s">
        <v>376</v>
      </c>
      <c r="E3" s="321"/>
      <c r="F3" s="210" t="s">
        <v>72</v>
      </c>
      <c r="G3" s="210" t="s">
        <v>119</v>
      </c>
      <c r="H3" s="210" t="s">
        <v>272</v>
      </c>
      <c r="I3" s="210">
        <f>_xlfn.XLOOKUP(F3,FIDELIZAÇÃO!C:C,FIDELIZAÇÃO!E:E,"NOK",0)</f>
        <v>90</v>
      </c>
      <c r="J3" s="322"/>
      <c r="K3" s="214" t="s">
        <v>123</v>
      </c>
      <c r="L3" s="214" t="s">
        <v>119</v>
      </c>
      <c r="M3" s="214" t="s">
        <v>374</v>
      </c>
      <c r="N3" s="323"/>
      <c r="O3" s="218">
        <v>256</v>
      </c>
      <c r="P3" s="218" t="s">
        <v>377</v>
      </c>
      <c r="Q3" s="324"/>
      <c r="R3" s="220">
        <v>110</v>
      </c>
      <c r="S3" s="220" t="s">
        <v>100</v>
      </c>
      <c r="T3" s="325"/>
      <c r="V3">
        <f t="shared" si="0"/>
        <v>15</v>
      </c>
      <c r="X3" s="159" t="s">
        <v>378</v>
      </c>
    </row>
    <row r="4" spans="1:25">
      <c r="A4" s="212">
        <v>15</v>
      </c>
      <c r="B4" s="212" t="s">
        <v>294</v>
      </c>
      <c r="C4" s="212">
        <v>153</v>
      </c>
      <c r="D4" s="212" t="s">
        <v>379</v>
      </c>
      <c r="E4" s="321"/>
      <c r="F4" s="210" t="s">
        <v>57</v>
      </c>
      <c r="G4" s="210" t="s">
        <v>119</v>
      </c>
      <c r="H4" s="210" t="s">
        <v>272</v>
      </c>
      <c r="I4" s="210">
        <f>_xlfn.XLOOKUP(F4,FIDELIZAÇÃO!C:C,FIDELIZAÇÃO!E:E,"NOK",0)</f>
        <v>15</v>
      </c>
      <c r="J4" s="322"/>
      <c r="K4" s="214" t="s">
        <v>380</v>
      </c>
      <c r="L4" s="214" t="s">
        <v>119</v>
      </c>
      <c r="M4" s="214" t="s">
        <v>374</v>
      </c>
      <c r="N4" s="323"/>
      <c r="O4" s="218">
        <v>262</v>
      </c>
      <c r="P4" s="218" t="s">
        <v>381</v>
      </c>
      <c r="Q4" s="324"/>
      <c r="R4" s="220">
        <v>111</v>
      </c>
      <c r="S4" s="220" t="s">
        <v>93</v>
      </c>
      <c r="T4" s="325"/>
      <c r="V4">
        <f t="shared" si="0"/>
        <v>16</v>
      </c>
      <c r="X4" s="160" t="s">
        <v>373</v>
      </c>
    </row>
    <row r="5" spans="1:25">
      <c r="A5" s="212">
        <v>16</v>
      </c>
      <c r="B5" s="212" t="s">
        <v>382</v>
      </c>
      <c r="C5" s="212">
        <v>157</v>
      </c>
      <c r="D5" s="212" t="s">
        <v>345</v>
      </c>
      <c r="E5" s="321"/>
      <c r="F5" s="210" t="s">
        <v>383</v>
      </c>
      <c r="G5" s="210" t="s">
        <v>119</v>
      </c>
      <c r="H5" s="210" t="s">
        <v>272</v>
      </c>
      <c r="I5" s="210" t="str">
        <f>_xlfn.XLOOKUP(F5,FIDELIZAÇÃO!C:C,FIDELIZAÇÃO!E:E,"NOK",0)</f>
        <v>NOK</v>
      </c>
      <c r="J5" s="322"/>
      <c r="K5" s="214" t="s">
        <v>125</v>
      </c>
      <c r="L5" s="214" t="s">
        <v>119</v>
      </c>
      <c r="M5" s="214" t="s">
        <v>374</v>
      </c>
      <c r="N5" s="323"/>
      <c r="O5" s="218">
        <v>214</v>
      </c>
      <c r="P5" s="218" t="s">
        <v>384</v>
      </c>
      <c r="Q5" s="324"/>
      <c r="R5" s="220">
        <v>120</v>
      </c>
      <c r="S5" s="220" t="s">
        <v>81</v>
      </c>
      <c r="T5" s="325"/>
      <c r="V5">
        <f t="shared" si="0"/>
        <v>34</v>
      </c>
      <c r="X5" s="160" t="s">
        <v>383</v>
      </c>
    </row>
    <row r="6" spans="1:25">
      <c r="A6" s="212">
        <v>34</v>
      </c>
      <c r="B6" s="212" t="s">
        <v>385</v>
      </c>
      <c r="C6" s="212">
        <v>162</v>
      </c>
      <c r="D6" s="212" t="s">
        <v>347</v>
      </c>
      <c r="E6" s="321"/>
      <c r="F6" s="210" t="s">
        <v>48</v>
      </c>
      <c r="G6" s="210" t="s">
        <v>119</v>
      </c>
      <c r="H6" s="210" t="s">
        <v>272</v>
      </c>
      <c r="I6" s="210">
        <f>_xlfn.XLOOKUP(F6,FIDELIZAÇÃO!C:C,FIDELIZAÇÃO!E:E,"NOK",0)</f>
        <v>48</v>
      </c>
      <c r="J6" s="322"/>
      <c r="K6" s="214" t="s">
        <v>118</v>
      </c>
      <c r="L6" s="214" t="s">
        <v>119</v>
      </c>
      <c r="M6" s="214" t="s">
        <v>374</v>
      </c>
      <c r="N6" s="323"/>
      <c r="O6" s="218">
        <v>263</v>
      </c>
      <c r="P6" s="218" t="s">
        <v>386</v>
      </c>
      <c r="Q6" s="324"/>
      <c r="R6" s="220">
        <v>122</v>
      </c>
      <c r="S6" s="220" t="s">
        <v>85</v>
      </c>
      <c r="T6" s="325"/>
      <c r="V6">
        <f t="shared" si="0"/>
        <v>48</v>
      </c>
      <c r="X6" s="160" t="s">
        <v>102</v>
      </c>
    </row>
    <row r="7" spans="1:25">
      <c r="A7" s="212">
        <v>48</v>
      </c>
      <c r="B7" s="212" t="s">
        <v>299</v>
      </c>
      <c r="C7" s="212">
        <v>163</v>
      </c>
      <c r="D7" s="212" t="s">
        <v>387</v>
      </c>
      <c r="E7" s="321"/>
      <c r="F7" s="210" t="s">
        <v>388</v>
      </c>
      <c r="G7" s="210" t="s">
        <v>119</v>
      </c>
      <c r="H7" s="210" t="s">
        <v>272</v>
      </c>
      <c r="I7" s="210" t="str">
        <f>_xlfn.XLOOKUP(F7,FIDELIZAÇÃO!C:C,FIDELIZAÇÃO!E:E,"NOK",0)</f>
        <v>NOK</v>
      </c>
      <c r="J7" s="322"/>
      <c r="K7" s="214" t="s">
        <v>389</v>
      </c>
      <c r="L7" s="214" t="s">
        <v>390</v>
      </c>
      <c r="M7" s="214" t="s">
        <v>374</v>
      </c>
      <c r="N7" s="323"/>
      <c r="O7" s="218">
        <v>191</v>
      </c>
      <c r="P7" s="218" t="s">
        <v>391</v>
      </c>
      <c r="Q7" s="324"/>
      <c r="R7" s="220">
        <v>134</v>
      </c>
      <c r="S7" s="220" t="s">
        <v>392</v>
      </c>
      <c r="T7" s="325"/>
      <c r="V7">
        <f t="shared" si="0"/>
        <v>90</v>
      </c>
      <c r="X7" s="160" t="s">
        <v>393</v>
      </c>
    </row>
    <row r="8" spans="1:25">
      <c r="A8" s="212">
        <v>90</v>
      </c>
      <c r="B8" s="212" t="s">
        <v>303</v>
      </c>
      <c r="C8" s="212">
        <v>164</v>
      </c>
      <c r="D8" s="212" t="s">
        <v>349</v>
      </c>
      <c r="E8" s="321"/>
      <c r="F8" s="210" t="s">
        <v>56</v>
      </c>
      <c r="G8" s="210" t="s">
        <v>119</v>
      </c>
      <c r="H8" s="210" t="s">
        <v>272</v>
      </c>
      <c r="I8" s="210">
        <f>_xlfn.XLOOKUP(F8,FIDELIZAÇÃO!C:C,FIDELIZAÇÃO!E:E,"NOK",0)</f>
        <v>217</v>
      </c>
      <c r="J8" s="322"/>
      <c r="K8" s="214" t="s">
        <v>115</v>
      </c>
      <c r="L8" s="214" t="s">
        <v>390</v>
      </c>
      <c r="M8" s="214" t="s">
        <v>374</v>
      </c>
      <c r="N8" s="323"/>
      <c r="O8" s="218">
        <v>255</v>
      </c>
      <c r="P8" s="218" t="s">
        <v>394</v>
      </c>
      <c r="Q8" s="324"/>
      <c r="R8" s="220">
        <v>131</v>
      </c>
      <c r="S8" s="220" t="s">
        <v>395</v>
      </c>
      <c r="T8" s="325"/>
      <c r="V8">
        <f t="shared" si="0"/>
        <v>107</v>
      </c>
      <c r="X8" s="160" t="s">
        <v>396</v>
      </c>
    </row>
    <row r="9" spans="1:25">
      <c r="A9" s="212">
        <v>107</v>
      </c>
      <c r="B9" s="212" t="s">
        <v>397</v>
      </c>
      <c r="C9" s="212">
        <v>166</v>
      </c>
      <c r="D9" s="212" t="s">
        <v>351</v>
      </c>
      <c r="E9" s="321"/>
      <c r="F9" s="210" t="s">
        <v>54</v>
      </c>
      <c r="G9" s="210" t="s">
        <v>119</v>
      </c>
      <c r="H9" s="210" t="s">
        <v>272</v>
      </c>
      <c r="I9" s="210">
        <f>_xlfn.XLOOKUP(F9,FIDELIZAÇÃO!C:C,FIDELIZAÇÃO!E:E,"NOK",0)</f>
        <v>14</v>
      </c>
      <c r="J9" s="322"/>
      <c r="K9" s="214" t="s">
        <v>398</v>
      </c>
      <c r="L9" s="214" t="s">
        <v>390</v>
      </c>
      <c r="M9" s="214" t="s">
        <v>374</v>
      </c>
      <c r="N9" s="323"/>
      <c r="O9" s="218">
        <v>216</v>
      </c>
      <c r="P9" s="218" t="s">
        <v>399</v>
      </c>
      <c r="Q9" s="324"/>
      <c r="R9" s="220">
        <v>200</v>
      </c>
      <c r="S9" s="220" t="s">
        <v>94</v>
      </c>
      <c r="T9" s="325"/>
      <c r="V9">
        <f t="shared" si="0"/>
        <v>161</v>
      </c>
      <c r="X9" s="160" t="s">
        <v>78</v>
      </c>
    </row>
    <row r="10" spans="1:25">
      <c r="A10" s="212">
        <v>161</v>
      </c>
      <c r="B10" s="212" t="s">
        <v>306</v>
      </c>
      <c r="C10" s="212">
        <v>149</v>
      </c>
      <c r="D10" s="212" t="s">
        <v>400</v>
      </c>
      <c r="E10" s="321"/>
      <c r="F10" s="210" t="s">
        <v>102</v>
      </c>
      <c r="G10" s="210" t="s">
        <v>119</v>
      </c>
      <c r="H10" s="210" t="s">
        <v>272</v>
      </c>
      <c r="I10" s="210">
        <f>_xlfn.XLOOKUP(F10,FIDELIZAÇÃO!C:C,FIDELIZAÇÃO!E:E,"NOK",0)</f>
        <v>244</v>
      </c>
      <c r="J10" s="322"/>
      <c r="K10" s="214" t="s">
        <v>116</v>
      </c>
      <c r="L10" s="214" t="s">
        <v>390</v>
      </c>
      <c r="M10" s="214" t="s">
        <v>374</v>
      </c>
      <c r="N10" s="323"/>
      <c r="O10" s="218">
        <v>206</v>
      </c>
      <c r="P10" s="218" t="s">
        <v>401</v>
      </c>
      <c r="Q10" s="324"/>
      <c r="R10" s="220">
        <v>201</v>
      </c>
      <c r="S10" s="220" t="s">
        <v>90</v>
      </c>
      <c r="T10" s="325"/>
      <c r="V10">
        <f t="shared" si="0"/>
        <v>192</v>
      </c>
      <c r="X10" s="160" t="s">
        <v>402</v>
      </c>
    </row>
    <row r="11" spans="1:25">
      <c r="A11" s="212">
        <v>192</v>
      </c>
      <c r="B11" s="212" t="s">
        <v>308</v>
      </c>
      <c r="C11" s="212">
        <v>170</v>
      </c>
      <c r="D11" s="212" t="s">
        <v>403</v>
      </c>
      <c r="E11" s="321"/>
      <c r="F11" s="210" t="s">
        <v>393</v>
      </c>
      <c r="G11" s="210" t="s">
        <v>119</v>
      </c>
      <c r="H11" s="210" t="s">
        <v>272</v>
      </c>
      <c r="I11" s="210" t="str">
        <f>_xlfn.XLOOKUP(F11,FIDELIZAÇÃO!C:C,FIDELIZAÇÃO!E:E,"NOK",0)</f>
        <v>NOK</v>
      </c>
      <c r="J11" s="322"/>
      <c r="K11" s="214" t="s">
        <v>404</v>
      </c>
      <c r="L11" s="214" t="s">
        <v>390</v>
      </c>
      <c r="M11" s="214" t="s">
        <v>374</v>
      </c>
      <c r="N11" s="323"/>
      <c r="O11" s="218">
        <v>234</v>
      </c>
      <c r="P11" s="218" t="s">
        <v>405</v>
      </c>
      <c r="Q11" s="324"/>
      <c r="R11" s="220">
        <v>210</v>
      </c>
      <c r="S11" s="220" t="s">
        <v>80</v>
      </c>
      <c r="T11" s="325"/>
      <c r="V11">
        <f t="shared" si="0"/>
        <v>199</v>
      </c>
      <c r="X11" s="160" t="s">
        <v>82</v>
      </c>
    </row>
    <row r="12" spans="1:25">
      <c r="A12" s="212">
        <v>199</v>
      </c>
      <c r="B12" s="212" t="s">
        <v>309</v>
      </c>
      <c r="C12" s="212">
        <v>172</v>
      </c>
      <c r="D12" s="212" t="s">
        <v>406</v>
      </c>
      <c r="E12" s="321"/>
      <c r="F12" s="210" t="s">
        <v>67</v>
      </c>
      <c r="G12" s="210" t="s">
        <v>169</v>
      </c>
      <c r="H12" s="210" t="s">
        <v>272</v>
      </c>
      <c r="I12" s="210">
        <f>_xlfn.XLOOKUP(F12,FIDELIZAÇÃO!C:C,FIDELIZAÇÃO!E:E,"NOK",0)</f>
        <v>86</v>
      </c>
      <c r="J12" s="322"/>
      <c r="K12" s="214" t="s">
        <v>407</v>
      </c>
      <c r="L12" s="214" t="s">
        <v>390</v>
      </c>
      <c r="M12" s="214" t="s">
        <v>374</v>
      </c>
      <c r="N12" s="323"/>
      <c r="O12" s="218">
        <v>136</v>
      </c>
      <c r="P12" s="218" t="s">
        <v>408</v>
      </c>
      <c r="Q12" s="324"/>
      <c r="R12" s="220">
        <v>211</v>
      </c>
      <c r="S12" s="220" t="s">
        <v>86</v>
      </c>
      <c r="T12" s="325"/>
      <c r="V12">
        <f t="shared" si="0"/>
        <v>202</v>
      </c>
      <c r="X12" s="160" t="s">
        <v>409</v>
      </c>
    </row>
    <row r="13" spans="1:25">
      <c r="A13" s="212">
        <v>202</v>
      </c>
      <c r="B13" s="212" t="s">
        <v>410</v>
      </c>
      <c r="C13" s="212">
        <v>174</v>
      </c>
      <c r="D13" s="212" t="s">
        <v>411</v>
      </c>
      <c r="E13" s="321"/>
      <c r="F13" s="210" t="s">
        <v>412</v>
      </c>
      <c r="G13" s="210" t="s">
        <v>119</v>
      </c>
      <c r="H13" s="210" t="s">
        <v>272</v>
      </c>
      <c r="I13" s="210" t="str">
        <f>_xlfn.XLOOKUP(F13,FIDELIZAÇÃO!C:C,FIDELIZAÇÃO!E:E,"NOK",0)</f>
        <v>NOK</v>
      </c>
      <c r="J13" s="322"/>
      <c r="K13" s="214" t="s">
        <v>117</v>
      </c>
      <c r="L13" s="214" t="s">
        <v>390</v>
      </c>
      <c r="M13" s="214" t="s">
        <v>374</v>
      </c>
      <c r="N13" s="323"/>
      <c r="O13" s="218">
        <v>265</v>
      </c>
      <c r="P13" s="218" t="s">
        <v>413</v>
      </c>
      <c r="Q13" s="324"/>
      <c r="R13" s="220">
        <v>220</v>
      </c>
      <c r="S13" s="220" t="s">
        <v>92</v>
      </c>
      <c r="T13" s="325"/>
      <c r="V13">
        <f t="shared" si="0"/>
        <v>208</v>
      </c>
      <c r="X13" s="160" t="s">
        <v>62</v>
      </c>
    </row>
    <row r="14" spans="1:25">
      <c r="A14" s="212">
        <v>208</v>
      </c>
      <c r="B14" s="212" t="s">
        <v>311</v>
      </c>
      <c r="C14" s="212">
        <v>177</v>
      </c>
      <c r="D14" s="212" t="s">
        <v>414</v>
      </c>
      <c r="E14" s="321"/>
      <c r="F14" s="210" t="s">
        <v>396</v>
      </c>
      <c r="G14" s="210" t="s">
        <v>119</v>
      </c>
      <c r="H14" s="210" t="s">
        <v>272</v>
      </c>
      <c r="I14" s="210" t="str">
        <f>_xlfn.XLOOKUP(F14,FIDELIZAÇÃO!C:C,FIDELIZAÇÃO!E:E,"NOK",0)</f>
        <v>NOK</v>
      </c>
      <c r="J14" s="322"/>
      <c r="K14" s="214" t="s">
        <v>113</v>
      </c>
      <c r="L14" s="214" t="s">
        <v>390</v>
      </c>
      <c r="M14" s="214" t="s">
        <v>374</v>
      </c>
      <c r="N14" s="323"/>
      <c r="O14" s="218">
        <v>266</v>
      </c>
      <c r="P14" s="218" t="s">
        <v>415</v>
      </c>
      <c r="Q14" s="324"/>
      <c r="R14" s="220">
        <v>230</v>
      </c>
      <c r="S14" s="220" t="s">
        <v>95</v>
      </c>
      <c r="T14" s="325"/>
      <c r="V14">
        <f t="shared" si="0"/>
        <v>217</v>
      </c>
      <c r="X14" s="160" t="s">
        <v>416</v>
      </c>
    </row>
    <row r="15" spans="1:25">
      <c r="A15" s="212">
        <v>217</v>
      </c>
      <c r="B15" s="212" t="s">
        <v>313</v>
      </c>
      <c r="C15" s="212">
        <v>178</v>
      </c>
      <c r="D15" s="212" t="s">
        <v>417</v>
      </c>
      <c r="E15" s="321"/>
      <c r="F15" s="210" t="s">
        <v>418</v>
      </c>
      <c r="G15" s="210" t="s">
        <v>169</v>
      </c>
      <c r="H15" s="210" t="s">
        <v>272</v>
      </c>
      <c r="I15" s="210" t="str">
        <f>_xlfn.XLOOKUP(F15,FIDELIZAÇÃO!C:C,FIDELIZAÇÃO!E:E,"NOK",0)</f>
        <v>NOK</v>
      </c>
      <c r="J15" s="322"/>
      <c r="K15" s="214" t="s">
        <v>126</v>
      </c>
      <c r="L15" s="214" t="s">
        <v>419</v>
      </c>
      <c r="M15" s="214" t="s">
        <v>374</v>
      </c>
      <c r="N15" s="323"/>
      <c r="O15" s="218">
        <v>165</v>
      </c>
      <c r="P15" s="218" t="s">
        <v>420</v>
      </c>
      <c r="Q15" s="324"/>
      <c r="R15" s="220">
        <v>231</v>
      </c>
      <c r="S15" s="220" t="s">
        <v>88</v>
      </c>
      <c r="T15" s="325"/>
      <c r="V15">
        <f t="shared" si="0"/>
        <v>218</v>
      </c>
      <c r="X15" s="160" t="s">
        <v>412</v>
      </c>
    </row>
    <row r="16" spans="1:25">
      <c r="A16" s="212">
        <v>218</v>
      </c>
      <c r="B16" s="212" t="s">
        <v>421</v>
      </c>
      <c r="C16" s="212">
        <v>179</v>
      </c>
      <c r="D16" s="212" t="s">
        <v>422</v>
      </c>
      <c r="E16" s="321"/>
      <c r="F16" s="210" t="s">
        <v>64</v>
      </c>
      <c r="G16" s="210" t="s">
        <v>119</v>
      </c>
      <c r="H16" s="210" t="s">
        <v>272</v>
      </c>
      <c r="I16" s="210">
        <f>_xlfn.XLOOKUP(F16,FIDELIZAÇÃO!C:C,FIDELIZAÇÃO!E:E,"NOK",0)</f>
        <v>286</v>
      </c>
      <c r="J16" s="322"/>
      <c r="K16" s="214" t="s">
        <v>128</v>
      </c>
      <c r="L16" s="214" t="s">
        <v>419</v>
      </c>
      <c r="M16" s="214" t="s">
        <v>374</v>
      </c>
      <c r="N16" s="323"/>
      <c r="O16" s="218">
        <v>267</v>
      </c>
      <c r="P16" s="218" t="s">
        <v>423</v>
      </c>
      <c r="Q16" s="324"/>
      <c r="R16" s="220">
        <v>241</v>
      </c>
      <c r="S16" s="220" t="s">
        <v>98</v>
      </c>
      <c r="T16" s="325"/>
      <c r="V16">
        <f t="shared" si="0"/>
        <v>286</v>
      </c>
    </row>
    <row r="17" spans="1:22">
      <c r="A17" s="212">
        <v>286</v>
      </c>
      <c r="B17" s="212" t="s">
        <v>424</v>
      </c>
      <c r="C17" s="212">
        <v>180</v>
      </c>
      <c r="D17" s="212" t="s">
        <v>425</v>
      </c>
      <c r="E17" s="321"/>
      <c r="F17" s="210" t="s">
        <v>51</v>
      </c>
      <c r="G17" s="210" t="s">
        <v>119</v>
      </c>
      <c r="H17" s="210" t="s">
        <v>272</v>
      </c>
      <c r="I17" s="210">
        <f>_xlfn.XLOOKUP(F17,FIDELIZAÇÃO!C:C,FIDELIZAÇÃO!E:E,"NOK",0)</f>
        <v>161</v>
      </c>
      <c r="J17" s="322"/>
      <c r="K17" s="214" t="s">
        <v>426</v>
      </c>
      <c r="L17" s="214" t="s">
        <v>419</v>
      </c>
      <c r="M17" s="214" t="s">
        <v>374</v>
      </c>
      <c r="N17" s="323"/>
      <c r="O17" s="218">
        <v>261</v>
      </c>
      <c r="P17" s="218" t="s">
        <v>427</v>
      </c>
      <c r="Q17" s="324"/>
      <c r="R17" s="220">
        <v>250</v>
      </c>
      <c r="S17" s="220" t="s">
        <v>84</v>
      </c>
      <c r="T17" s="325"/>
      <c r="V17">
        <f t="shared" si="0"/>
        <v>236</v>
      </c>
    </row>
    <row r="18" spans="1:22">
      <c r="A18" s="212">
        <v>236</v>
      </c>
      <c r="B18" s="212" t="s">
        <v>317</v>
      </c>
      <c r="C18" s="212">
        <v>182</v>
      </c>
      <c r="D18" s="212" t="s">
        <v>428</v>
      </c>
      <c r="E18" s="321"/>
      <c r="F18" s="210" t="s">
        <v>429</v>
      </c>
      <c r="G18" s="210" t="s">
        <v>119</v>
      </c>
      <c r="H18" s="210" t="s">
        <v>272</v>
      </c>
      <c r="I18" s="210" t="str">
        <f>_xlfn.XLOOKUP(F18,FIDELIZAÇÃO!C:C,FIDELIZAÇÃO!E:E,"NOK",0)</f>
        <v>NOK</v>
      </c>
      <c r="J18" s="322"/>
      <c r="K18" s="214" t="s">
        <v>430</v>
      </c>
      <c r="L18" s="214" t="s">
        <v>419</v>
      </c>
      <c r="M18" s="214" t="s">
        <v>374</v>
      </c>
      <c r="N18" s="323"/>
      <c r="O18" s="218">
        <v>230</v>
      </c>
      <c r="P18" s="218" t="s">
        <v>431</v>
      </c>
      <c r="Q18" s="324"/>
      <c r="R18" s="220">
        <v>900</v>
      </c>
      <c r="S18" s="220" t="s">
        <v>107</v>
      </c>
      <c r="T18" s="325"/>
      <c r="V18">
        <f t="shared" si="0"/>
        <v>269</v>
      </c>
    </row>
    <row r="19" spans="1:22">
      <c r="A19" s="212">
        <v>269</v>
      </c>
      <c r="B19" s="212" t="s">
        <v>432</v>
      </c>
      <c r="C19" s="212">
        <v>183</v>
      </c>
      <c r="D19" s="212" t="s">
        <v>433</v>
      </c>
      <c r="E19" s="321"/>
      <c r="F19" s="210" t="s">
        <v>78</v>
      </c>
      <c r="G19" s="210" t="s">
        <v>119</v>
      </c>
      <c r="H19" s="210" t="s">
        <v>272</v>
      </c>
      <c r="I19" s="210">
        <f>_xlfn.XLOOKUP(F19,FIDELIZAÇÃO!C:C,FIDELIZAÇÃO!E:E,"NOK",0)</f>
        <v>285</v>
      </c>
      <c r="J19" s="322"/>
      <c r="K19" s="214" t="s">
        <v>130</v>
      </c>
      <c r="L19" s="214" t="s">
        <v>419</v>
      </c>
      <c r="M19" s="214" t="s">
        <v>374</v>
      </c>
      <c r="N19" s="323"/>
      <c r="O19" s="218">
        <v>228</v>
      </c>
      <c r="P19" s="218" t="s">
        <v>434</v>
      </c>
      <c r="Q19" s="324"/>
      <c r="R19" s="220">
        <v>112</v>
      </c>
      <c r="S19" s="220" t="s">
        <v>89</v>
      </c>
      <c r="T19" s="325"/>
      <c r="V19">
        <f t="shared" si="0"/>
        <v>270</v>
      </c>
    </row>
    <row r="20" spans="1:22">
      <c r="A20" s="212">
        <v>270</v>
      </c>
      <c r="B20" s="212" t="s">
        <v>323</v>
      </c>
      <c r="C20" s="212">
        <v>184</v>
      </c>
      <c r="D20" s="212" t="s">
        <v>435</v>
      </c>
      <c r="E20" s="321"/>
      <c r="F20" s="210" t="s">
        <v>69</v>
      </c>
      <c r="G20" s="210" t="s">
        <v>390</v>
      </c>
      <c r="H20" s="210" t="s">
        <v>272</v>
      </c>
      <c r="I20" s="210">
        <f>_xlfn.XLOOKUP(F20,FIDELIZAÇÃO!C:C,FIDELIZAÇÃO!E:E,"NOK",0)</f>
        <v>294</v>
      </c>
      <c r="J20" s="322"/>
      <c r="K20" s="214" t="s">
        <v>124</v>
      </c>
      <c r="L20" s="214" t="s">
        <v>419</v>
      </c>
      <c r="M20" s="214" t="s">
        <v>374</v>
      </c>
      <c r="N20" s="323"/>
      <c r="O20" s="218">
        <v>272</v>
      </c>
      <c r="P20" s="218" t="s">
        <v>436</v>
      </c>
      <c r="Q20" s="324"/>
      <c r="R20" s="220">
        <v>114</v>
      </c>
      <c r="S20" s="220" t="s">
        <v>91</v>
      </c>
      <c r="T20" s="325"/>
      <c r="V20">
        <f t="shared" si="0"/>
        <v>277</v>
      </c>
    </row>
    <row r="21" spans="1:22">
      <c r="A21" s="212">
        <v>277</v>
      </c>
      <c r="B21" s="212" t="s">
        <v>437</v>
      </c>
      <c r="C21" s="212">
        <v>185</v>
      </c>
      <c r="D21" s="212" t="s">
        <v>438</v>
      </c>
      <c r="E21" s="321"/>
      <c r="F21" s="210" t="s">
        <v>439</v>
      </c>
      <c r="G21" s="210" t="s">
        <v>390</v>
      </c>
      <c r="H21" s="210" t="s">
        <v>272</v>
      </c>
      <c r="I21" s="210" t="str">
        <f>_xlfn.XLOOKUP(F21,FIDELIZAÇÃO!C:C,FIDELIZAÇÃO!E:E,"NOK",0)</f>
        <v>NOK</v>
      </c>
      <c r="J21" s="322"/>
      <c r="K21" s="215" t="s">
        <v>120</v>
      </c>
      <c r="L21" s="214" t="s">
        <v>119</v>
      </c>
      <c r="M21" s="214" t="s">
        <v>374</v>
      </c>
      <c r="N21" s="323"/>
      <c r="O21" s="218">
        <v>273</v>
      </c>
      <c r="P21" s="218" t="s">
        <v>440</v>
      </c>
      <c r="Q21" s="324"/>
      <c r="R21" s="220">
        <v>999</v>
      </c>
      <c r="S21" s="220" t="s">
        <v>441</v>
      </c>
      <c r="T21" s="325"/>
      <c r="V21">
        <f t="shared" si="0"/>
        <v>86</v>
      </c>
    </row>
    <row r="22" spans="1:22">
      <c r="A22" s="212">
        <v>86</v>
      </c>
      <c r="B22" s="212" t="s">
        <v>442</v>
      </c>
      <c r="C22" s="212">
        <v>187</v>
      </c>
      <c r="D22" s="212" t="s">
        <v>443</v>
      </c>
      <c r="E22" s="321"/>
      <c r="F22" s="210" t="s">
        <v>83</v>
      </c>
      <c r="G22" s="210" t="s">
        <v>390</v>
      </c>
      <c r="H22" s="210" t="s">
        <v>272</v>
      </c>
      <c r="I22" s="210">
        <f>_xlfn.XLOOKUP(F22,FIDELIZAÇÃO!C:C,FIDELIZAÇÃO!E:E,"NOK",0)</f>
        <v>304</v>
      </c>
      <c r="J22" s="322"/>
      <c r="K22" s="214" t="s">
        <v>131</v>
      </c>
      <c r="L22" s="214" t="s">
        <v>419</v>
      </c>
      <c r="M22" s="214" t="s">
        <v>374</v>
      </c>
      <c r="N22" s="323"/>
      <c r="O22" s="218">
        <v>274</v>
      </c>
      <c r="P22" s="218" t="s">
        <v>444</v>
      </c>
      <c r="Q22" s="324"/>
      <c r="R22" s="220">
        <v>902</v>
      </c>
      <c r="S22" s="220" t="s">
        <v>101</v>
      </c>
      <c r="T22" s="325"/>
      <c r="V22">
        <f t="shared" si="0"/>
        <v>285</v>
      </c>
    </row>
    <row r="23" spans="1:22">
      <c r="A23" s="212">
        <v>285</v>
      </c>
      <c r="B23" s="212" t="s">
        <v>333</v>
      </c>
      <c r="C23" s="212">
        <v>193</v>
      </c>
      <c r="D23" s="212" t="s">
        <v>445</v>
      </c>
      <c r="E23" s="321"/>
      <c r="F23" s="210" t="s">
        <v>446</v>
      </c>
      <c r="G23" s="210" t="s">
        <v>390</v>
      </c>
      <c r="H23" s="210" t="s">
        <v>272</v>
      </c>
      <c r="I23" s="210" t="str">
        <f>_xlfn.XLOOKUP(F23,FIDELIZAÇÃO!C:C,FIDELIZAÇÃO!E:E,"NOK",0)</f>
        <v>NOK</v>
      </c>
      <c r="J23" s="322"/>
      <c r="K23" s="214" t="s">
        <v>129</v>
      </c>
      <c r="L23" s="214" t="s">
        <v>419</v>
      </c>
      <c r="M23" s="214" t="s">
        <v>374</v>
      </c>
      <c r="N23" s="323"/>
      <c r="O23" s="218">
        <v>275</v>
      </c>
      <c r="P23" s="218" t="s">
        <v>447</v>
      </c>
      <c r="Q23" s="324"/>
      <c r="R23" s="220">
        <v>101</v>
      </c>
      <c r="S23" s="220" t="s">
        <v>106</v>
      </c>
      <c r="T23" s="325"/>
      <c r="V23">
        <f t="shared" si="0"/>
        <v>294</v>
      </c>
    </row>
    <row r="24" spans="1:22">
      <c r="A24" s="212">
        <v>294</v>
      </c>
      <c r="B24" s="212" t="s">
        <v>448</v>
      </c>
      <c r="C24" s="212">
        <v>190</v>
      </c>
      <c r="D24" s="212" t="s">
        <v>449</v>
      </c>
      <c r="E24" s="321"/>
      <c r="F24" s="210" t="s">
        <v>53</v>
      </c>
      <c r="G24" s="210" t="s">
        <v>390</v>
      </c>
      <c r="H24" s="210" t="s">
        <v>272</v>
      </c>
      <c r="I24" s="210">
        <f>_xlfn.XLOOKUP(F24,FIDELIZAÇÃO!C:C,FIDELIZAÇÃO!E:E,"NOK",0)</f>
        <v>2</v>
      </c>
      <c r="J24" s="322"/>
      <c r="N24" s="323"/>
      <c r="O24" s="218">
        <v>276</v>
      </c>
      <c r="P24" s="218" t="s">
        <v>450</v>
      </c>
      <c r="Q24" s="324"/>
      <c r="R24" s="220">
        <v>132</v>
      </c>
      <c r="S24" s="220" t="s">
        <v>108</v>
      </c>
      <c r="T24" s="325"/>
      <c r="V24">
        <f t="shared" si="0"/>
        <v>295</v>
      </c>
    </row>
    <row r="25" spans="1:22">
      <c r="A25" s="212">
        <v>295</v>
      </c>
      <c r="B25" s="212" t="s">
        <v>451</v>
      </c>
      <c r="C25" s="212">
        <v>188</v>
      </c>
      <c r="D25" s="212" t="s">
        <v>452</v>
      </c>
      <c r="E25" s="321"/>
      <c r="F25" s="210" t="s">
        <v>68</v>
      </c>
      <c r="G25" s="210" t="s">
        <v>390</v>
      </c>
      <c r="H25" s="210" t="s">
        <v>272</v>
      </c>
      <c r="I25" s="210">
        <f>_xlfn.XLOOKUP(F25,FIDELIZAÇÃO!C:C,FIDELIZAÇÃO!E:E,"NOK",0)</f>
        <v>107</v>
      </c>
      <c r="J25" s="322"/>
      <c r="N25" s="323"/>
      <c r="O25" s="218">
        <v>279</v>
      </c>
      <c r="P25" s="218" t="s">
        <v>453</v>
      </c>
      <c r="Q25" s="324"/>
      <c r="T25" s="325"/>
      <c r="V25">
        <f t="shared" si="0"/>
        <v>296</v>
      </c>
    </row>
    <row r="26" spans="1:22">
      <c r="A26" s="212">
        <v>296</v>
      </c>
      <c r="B26" s="212" t="s">
        <v>454</v>
      </c>
      <c r="C26" s="212">
        <v>191</v>
      </c>
      <c r="D26" s="212" t="s">
        <v>455</v>
      </c>
      <c r="E26" s="321"/>
      <c r="F26" s="210" t="s">
        <v>111</v>
      </c>
      <c r="G26" s="210" t="s">
        <v>456</v>
      </c>
      <c r="H26" s="210" t="s">
        <v>457</v>
      </c>
      <c r="I26" s="210">
        <f>_xlfn.XLOOKUP(F26,FIDELIZAÇÃO!C:C,FIDELIZAÇÃO!E:E,"NOK",0)</f>
        <v>0</v>
      </c>
      <c r="J26" s="322"/>
      <c r="N26" s="323"/>
      <c r="O26" s="218">
        <v>290</v>
      </c>
      <c r="P26" s="218" t="s">
        <v>458</v>
      </c>
      <c r="Q26" s="324"/>
      <c r="T26" s="325"/>
      <c r="V26">
        <f t="shared" si="0"/>
        <v>209</v>
      </c>
    </row>
    <row r="27" spans="1:22">
      <c r="A27" s="212">
        <v>209</v>
      </c>
      <c r="B27" s="212" t="s">
        <v>312</v>
      </c>
      <c r="C27" s="212">
        <v>192</v>
      </c>
      <c r="D27" s="212" t="s">
        <v>459</v>
      </c>
      <c r="E27" s="321"/>
      <c r="F27" s="210" t="s">
        <v>402</v>
      </c>
      <c r="G27" s="210" t="s">
        <v>456</v>
      </c>
      <c r="H27" s="210" t="s">
        <v>457</v>
      </c>
      <c r="I27" s="210" t="str">
        <f>_xlfn.XLOOKUP(F27,FIDELIZAÇÃO!C:C,FIDELIZAÇÃO!E:E,"NOK",0)</f>
        <v>NOK</v>
      </c>
      <c r="J27" s="322"/>
      <c r="N27" s="323"/>
      <c r="O27" s="218">
        <v>284</v>
      </c>
      <c r="P27" s="218" t="s">
        <v>460</v>
      </c>
      <c r="Q27" s="324"/>
      <c r="T27" s="325"/>
      <c r="V27">
        <f t="shared" si="0"/>
        <v>298</v>
      </c>
    </row>
    <row r="28" spans="1:22">
      <c r="A28" s="212">
        <v>298</v>
      </c>
      <c r="B28" s="212" t="s">
        <v>350</v>
      </c>
      <c r="C28" s="212">
        <v>189</v>
      </c>
      <c r="D28" s="212" t="s">
        <v>461</v>
      </c>
      <c r="E28" s="321"/>
      <c r="F28" s="210" t="s">
        <v>82</v>
      </c>
      <c r="G28" s="210" t="s">
        <v>390</v>
      </c>
      <c r="H28" s="210" t="s">
        <v>272</v>
      </c>
      <c r="I28" s="210" t="str">
        <f>_xlfn.XLOOKUP(F28,FIDELIZAÇÃO!C:C,FIDELIZAÇÃO!E:E,"NOK",0)</f>
        <v>NOK</v>
      </c>
      <c r="J28" s="322"/>
      <c r="N28" s="323"/>
      <c r="O28" s="218">
        <v>291</v>
      </c>
      <c r="P28" s="218" t="s">
        <v>462</v>
      </c>
      <c r="Q28" s="324"/>
      <c r="T28" s="325"/>
      <c r="V28">
        <f t="shared" si="0"/>
        <v>10</v>
      </c>
    </row>
    <row r="29" spans="1:22">
      <c r="A29" s="212">
        <v>10</v>
      </c>
      <c r="B29" s="212" t="s">
        <v>351</v>
      </c>
      <c r="E29" s="321"/>
      <c r="F29" s="210" t="s">
        <v>409</v>
      </c>
      <c r="G29" s="210" t="s">
        <v>390</v>
      </c>
      <c r="H29" s="210" t="s">
        <v>272</v>
      </c>
      <c r="I29" s="210" t="str">
        <f>_xlfn.XLOOKUP(F29,FIDELIZAÇÃO!C:C,FIDELIZAÇÃO!E:E,"NOK",0)</f>
        <v>NOK</v>
      </c>
      <c r="J29" s="322"/>
      <c r="N29" s="323"/>
      <c r="O29" s="218">
        <v>292</v>
      </c>
      <c r="P29" s="218" t="s">
        <v>463</v>
      </c>
      <c r="Q29" s="324"/>
      <c r="T29" s="325"/>
      <c r="V29">
        <f t="shared" si="0"/>
        <v>304</v>
      </c>
    </row>
    <row r="30" spans="1:22">
      <c r="A30" s="212">
        <v>304</v>
      </c>
      <c r="B30" s="212" t="s">
        <v>464</v>
      </c>
      <c r="E30" s="321"/>
      <c r="F30" s="210" t="s">
        <v>62</v>
      </c>
      <c r="G30" s="210" t="s">
        <v>390</v>
      </c>
      <c r="H30" s="210" t="s">
        <v>272</v>
      </c>
      <c r="I30" s="210">
        <f>_xlfn.XLOOKUP(F30,FIDELIZAÇÃO!C:C,FIDELIZAÇÃO!E:E,"NOK",0)</f>
        <v>208</v>
      </c>
      <c r="J30" s="322"/>
      <c r="N30" s="323"/>
      <c r="O30" s="218">
        <v>283</v>
      </c>
      <c r="P30" s="218" t="s">
        <v>465</v>
      </c>
      <c r="Q30" s="324"/>
      <c r="T30" s="325"/>
      <c r="V30">
        <f t="shared" si="0"/>
        <v>5</v>
      </c>
    </row>
    <row r="31" spans="1:22">
      <c r="A31" s="212">
        <v>5</v>
      </c>
      <c r="B31" s="212" t="s">
        <v>414</v>
      </c>
      <c r="E31" s="321"/>
      <c r="F31" s="210" t="s">
        <v>416</v>
      </c>
      <c r="G31" s="210" t="s">
        <v>169</v>
      </c>
      <c r="H31" s="210" t="s">
        <v>272</v>
      </c>
      <c r="I31" s="210" t="str">
        <f>_xlfn.XLOOKUP(F31,FIDELIZAÇÃO!C:C,FIDELIZAÇÃO!E:E,"NOK",0)</f>
        <v>NOK</v>
      </c>
      <c r="J31" s="322"/>
      <c r="N31" s="323"/>
      <c r="O31" s="218">
        <v>293</v>
      </c>
      <c r="P31" s="218" t="s">
        <v>466</v>
      </c>
      <c r="Q31" s="324"/>
      <c r="T31" s="325"/>
      <c r="V31">
        <f t="shared" si="0"/>
        <v>244</v>
      </c>
    </row>
    <row r="32" spans="1:22">
      <c r="A32" s="212">
        <v>244</v>
      </c>
      <c r="B32" s="212" t="s">
        <v>318</v>
      </c>
      <c r="E32" s="321"/>
      <c r="F32" s="210" t="s">
        <v>467</v>
      </c>
      <c r="G32" s="210" t="s">
        <v>169</v>
      </c>
      <c r="H32" s="210" t="s">
        <v>272</v>
      </c>
      <c r="I32" s="210" t="str">
        <f>_xlfn.XLOOKUP(F32,FIDELIZAÇÃO!C:C,FIDELIZAÇÃO!E:E,"NOK",0)</f>
        <v>NOK</v>
      </c>
      <c r="J32" s="322"/>
      <c r="N32" s="323"/>
      <c r="O32" s="218">
        <v>301</v>
      </c>
      <c r="P32" s="218" t="s">
        <v>468</v>
      </c>
      <c r="Q32" s="324"/>
      <c r="T32" s="325"/>
      <c r="V32">
        <f>C2</f>
        <v>9</v>
      </c>
    </row>
    <row r="33" spans="5:22">
      <c r="E33" s="321"/>
      <c r="F33" s="210" t="s">
        <v>61</v>
      </c>
      <c r="G33" s="210" t="s">
        <v>419</v>
      </c>
      <c r="H33" s="210" t="s">
        <v>272</v>
      </c>
      <c r="I33" s="210">
        <f>_xlfn.XLOOKUP(F33,FIDELIZAÇÃO!C:C,FIDELIZAÇÃO!E:E,"NOK",0)</f>
        <v>5</v>
      </c>
      <c r="J33" s="322"/>
      <c r="N33" s="323"/>
      <c r="O33" s="218">
        <v>302</v>
      </c>
      <c r="P33" s="218" t="s">
        <v>469</v>
      </c>
      <c r="Q33" s="324"/>
      <c r="T33" s="325"/>
      <c r="V33">
        <f>C3</f>
        <v>120</v>
      </c>
    </row>
    <row r="34" spans="5:22">
      <c r="E34" s="321"/>
      <c r="F34" s="210" t="s">
        <v>70</v>
      </c>
      <c r="G34" s="210" t="s">
        <v>390</v>
      </c>
      <c r="H34" s="210" t="s">
        <v>272</v>
      </c>
      <c r="J34" s="322"/>
      <c r="N34" s="323"/>
      <c r="O34" s="218">
        <v>305</v>
      </c>
      <c r="P34" s="218" t="s">
        <v>470</v>
      </c>
      <c r="Q34" s="324"/>
      <c r="T34" s="325"/>
      <c r="V34">
        <f t="shared" ref="V34:V64" si="1">C4</f>
        <v>153</v>
      </c>
    </row>
    <row r="35" spans="5:22">
      <c r="E35" s="321"/>
      <c r="J35" s="322"/>
      <c r="N35" s="323"/>
      <c r="O35" s="218">
        <v>306</v>
      </c>
      <c r="P35" s="218" t="s">
        <v>471</v>
      </c>
      <c r="Q35" s="324"/>
      <c r="T35" s="325"/>
      <c r="V35">
        <f t="shared" si="1"/>
        <v>157</v>
      </c>
    </row>
    <row r="36" spans="5:22">
      <c r="E36" s="321"/>
      <c r="J36" s="322"/>
      <c r="N36" s="323"/>
      <c r="O36" s="218">
        <v>307</v>
      </c>
      <c r="P36" s="218" t="s">
        <v>472</v>
      </c>
      <c r="Q36" s="324"/>
      <c r="T36" s="325"/>
      <c r="V36">
        <f t="shared" si="1"/>
        <v>162</v>
      </c>
    </row>
    <row r="37" spans="5:22">
      <c r="E37" s="321"/>
      <c r="J37" s="322"/>
      <c r="N37" s="323"/>
      <c r="O37" s="218">
        <v>12</v>
      </c>
      <c r="P37" s="218" t="s">
        <v>473</v>
      </c>
      <c r="Q37" s="324"/>
      <c r="T37" s="325"/>
      <c r="V37">
        <f t="shared" si="1"/>
        <v>163</v>
      </c>
    </row>
    <row r="38" spans="5:22">
      <c r="E38" s="321"/>
      <c r="J38" s="322"/>
      <c r="N38" s="323"/>
      <c r="Q38" s="324"/>
      <c r="T38" s="325"/>
      <c r="V38">
        <f t="shared" si="1"/>
        <v>164</v>
      </c>
    </row>
    <row r="39" spans="5:22">
      <c r="E39" s="321"/>
      <c r="J39" s="322"/>
      <c r="N39" s="323"/>
      <c r="Q39" s="324"/>
      <c r="T39" s="325"/>
      <c r="V39">
        <f t="shared" si="1"/>
        <v>166</v>
      </c>
    </row>
    <row r="40" spans="5:22">
      <c r="E40" s="321"/>
      <c r="J40" s="322"/>
      <c r="N40" s="323"/>
      <c r="Q40" s="324"/>
      <c r="T40" s="325"/>
      <c r="V40">
        <f t="shared" si="1"/>
        <v>149</v>
      </c>
    </row>
    <row r="41" spans="5:22">
      <c r="E41" s="321"/>
      <c r="J41" s="322"/>
      <c r="N41" s="323"/>
      <c r="Q41" s="324"/>
      <c r="T41" s="325"/>
      <c r="V41">
        <f t="shared" si="1"/>
        <v>170</v>
      </c>
    </row>
    <row r="42" spans="5:22">
      <c r="E42" s="321"/>
      <c r="J42" s="322"/>
      <c r="N42" s="323"/>
      <c r="Q42" s="324"/>
      <c r="T42" s="325"/>
      <c r="V42">
        <f t="shared" si="1"/>
        <v>172</v>
      </c>
    </row>
    <row r="43" spans="5:22">
      <c r="E43" s="321"/>
      <c r="J43" s="322"/>
      <c r="N43" s="323"/>
      <c r="Q43" s="324"/>
      <c r="T43" s="325"/>
      <c r="V43">
        <f t="shared" si="1"/>
        <v>174</v>
      </c>
    </row>
    <row r="44" spans="5:22">
      <c r="V44">
        <f t="shared" si="1"/>
        <v>177</v>
      </c>
    </row>
    <row r="45" spans="5:22">
      <c r="V45">
        <f t="shared" si="1"/>
        <v>178</v>
      </c>
    </row>
    <row r="46" spans="5:22">
      <c r="V46">
        <f t="shared" si="1"/>
        <v>179</v>
      </c>
    </row>
    <row r="47" spans="5:22">
      <c r="V47">
        <f t="shared" si="1"/>
        <v>180</v>
      </c>
    </row>
    <row r="48" spans="5:22">
      <c r="V48">
        <f t="shared" si="1"/>
        <v>182</v>
      </c>
    </row>
    <row r="49" spans="22:22">
      <c r="V49">
        <f t="shared" si="1"/>
        <v>183</v>
      </c>
    </row>
    <row r="50" spans="22:22">
      <c r="V50">
        <f t="shared" si="1"/>
        <v>184</v>
      </c>
    </row>
    <row r="51" spans="22:22">
      <c r="V51">
        <f t="shared" si="1"/>
        <v>185</v>
      </c>
    </row>
    <row r="52" spans="22:22">
      <c r="V52">
        <f t="shared" si="1"/>
        <v>187</v>
      </c>
    </row>
    <row r="53" spans="22:22">
      <c r="V53">
        <f t="shared" si="1"/>
        <v>193</v>
      </c>
    </row>
    <row r="54" spans="22:22">
      <c r="V54">
        <f t="shared" si="1"/>
        <v>190</v>
      </c>
    </row>
    <row r="55" spans="22:22">
      <c r="V55">
        <f t="shared" si="1"/>
        <v>188</v>
      </c>
    </row>
    <row r="56" spans="22:22">
      <c r="V56">
        <f t="shared" si="1"/>
        <v>191</v>
      </c>
    </row>
    <row r="57" spans="22:22">
      <c r="V57">
        <f t="shared" si="1"/>
        <v>192</v>
      </c>
    </row>
    <row r="58" spans="22:22">
      <c r="V58">
        <f t="shared" si="1"/>
        <v>189</v>
      </c>
    </row>
    <row r="59" spans="22:22">
      <c r="V59">
        <f t="shared" si="1"/>
        <v>0</v>
      </c>
    </row>
    <row r="60" spans="22:22">
      <c r="V60">
        <f t="shared" si="1"/>
        <v>0</v>
      </c>
    </row>
    <row r="61" spans="22:22">
      <c r="V61">
        <f t="shared" si="1"/>
        <v>0</v>
      </c>
    </row>
    <row r="62" spans="22:22">
      <c r="V62">
        <f t="shared" si="1"/>
        <v>0</v>
      </c>
    </row>
    <row r="63" spans="22:22">
      <c r="V63">
        <f t="shared" si="1"/>
        <v>0</v>
      </c>
    </row>
    <row r="64" spans="22:22">
      <c r="V64">
        <f t="shared" si="1"/>
        <v>0</v>
      </c>
    </row>
  </sheetData>
  <autoFilter ref="A1:D30" xr:uid="{00000000-0001-0000-0400-000000000000}">
    <sortState xmlns:xlrd2="http://schemas.microsoft.com/office/spreadsheetml/2017/richdata2" ref="A2:D30">
      <sortCondition ref="D1:D30"/>
    </sortState>
  </autoFilter>
  <sortState xmlns:xlrd2="http://schemas.microsoft.com/office/spreadsheetml/2017/richdata2" ref="C2:D27">
    <sortCondition ref="C2:C27"/>
  </sortState>
  <mergeCells count="5">
    <mergeCell ref="E1:E43"/>
    <mergeCell ref="J1:J43"/>
    <mergeCell ref="N1:N43"/>
    <mergeCell ref="Q1:Q43"/>
    <mergeCell ref="T1:T43"/>
  </mergeCells>
  <conditionalFormatting sqref="D3">
    <cfRule type="duplicateValues" dxfId="6" priority="8"/>
  </conditionalFormatting>
  <conditionalFormatting sqref="R1:R1048576">
    <cfRule type="duplicateValues" dxfId="5" priority="5"/>
  </conditionalFormatting>
  <conditionalFormatting sqref="B29">
    <cfRule type="duplicateValues" dxfId="4" priority="4"/>
  </conditionalFormatting>
  <conditionalFormatting sqref="D15">
    <cfRule type="duplicateValues" dxfId="3" priority="2"/>
  </conditionalFormatting>
  <conditionalFormatting sqref="D21">
    <cfRule type="duplicateValues" dxfId="2" priority="1"/>
  </conditionalFormatting>
  <conditionalFormatting sqref="D13:D14">
    <cfRule type="duplicateValues" dxfId="1" priority="1000"/>
  </conditionalFormatting>
  <conditionalFormatting sqref="B11 D16 B21:B23 B3:B4 B8:B9 B13 B17:B19 D18:D20 D27:D28 D22:D23">
    <cfRule type="duplicateValues" dxfId="0" priority="1009"/>
  </conditionalFormatting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53A44-8DF6-4270-BF71-12940136D1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Eduardo</dc:creator>
  <cp:keywords/>
  <dc:description/>
  <cp:lastModifiedBy>Kenedi Roberto Troian</cp:lastModifiedBy>
  <cp:revision/>
  <dcterms:created xsi:type="dcterms:W3CDTF">2024-07-18T12:41:33Z</dcterms:created>
  <dcterms:modified xsi:type="dcterms:W3CDTF">2026-10-02T09:44:32Z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2024-07-18T14:55:45Z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c3192bac-fb11-413a-abdb-2ca64104c7d1</vt:lpwstr>
  </property>
  <property fmtid="{D5CDD505-2E9C-101B-9397-08002B2CF9AE}" pid="7" name="MSIP_Label_defa4170-0d19-0005-0004-bc88714345d2_ActionId">
    <vt:lpwstr>548de9c2-6555-4471-bc32-eadfdff9f74e</vt:lpwstr>
  </property>
  <property fmtid="{D5CDD505-2E9C-101B-9397-08002B2CF9AE}" pid="8" name="MSIP_Label_defa4170-0d19-0005-0004-bc88714345d2_ContentBits">
    <vt:lpwstr>0</vt:lpwstr>
  </property>
</Properties>
</file>